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francia5\Downloads\"/>
    </mc:Choice>
  </mc:AlternateContent>
  <xr:revisionPtr revIDLastSave="8" documentId="13_ncr:4000b_{5FD331D3-1579-447A-8A11-8F1443BACD85}" xr6:coauthVersionLast="47" xr6:coauthVersionMax="47" xr10:uidLastSave="{8F378B52-D875-5CC1-B76B-8CA8D86C21CA}"/>
  <bookViews>
    <workbookView xWindow="6190" yWindow="2170" windowWidth="34730" windowHeight="18570" xr2:uid="{00000000-000D-0000-FFFF-FFFF00000000}"/>
  </bookViews>
  <sheets>
    <sheet name="Detail" sheetId="4" r:id="rId1"/>
    <sheet name="0711" sheetId="1" r:id="rId2"/>
    <sheet name="2111" sheetId="2" r:id="rId3"/>
    <sheet name="2811" sheetId="3" r:id="rId4"/>
  </sheets>
  <definedNames>
    <definedName name="_xlnm._FilterDatabase" localSheetId="0" hidden="1">Detail!$A$1:$E$69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4" l="1"/>
  <c r="E4" i="4"/>
  <c r="E6" i="4"/>
  <c r="E7" i="4" s="1"/>
  <c r="E8" i="4"/>
  <c r="E9" i="4" s="1"/>
  <c r="E10" i="4"/>
  <c r="E12" i="4" s="1"/>
  <c r="E11" i="4"/>
  <c r="E13" i="4"/>
  <c r="E16" i="4" s="1"/>
  <c r="E14" i="4"/>
  <c r="E15" i="4"/>
  <c r="E17" i="4"/>
  <c r="E20" i="4" s="1"/>
  <c r="E18" i="4"/>
  <c r="E19" i="4"/>
  <c r="E21" i="4"/>
  <c r="E22" i="4" s="1"/>
  <c r="E23" i="4"/>
  <c r="E25" i="4" s="1"/>
  <c r="E24" i="4"/>
  <c r="E26" i="4"/>
  <c r="E29" i="4" s="1"/>
  <c r="E27" i="4"/>
  <c r="E28" i="4"/>
  <c r="E30" i="4"/>
  <c r="E33" i="4" s="1"/>
  <c r="E31" i="4"/>
  <c r="E32" i="4"/>
  <c r="E34" i="4"/>
  <c r="E37" i="4" s="1"/>
  <c r="E35" i="4"/>
  <c r="E36" i="4"/>
  <c r="E38" i="4"/>
  <c r="E42" i="4" s="1"/>
  <c r="E39" i="4"/>
  <c r="E40" i="4"/>
  <c r="E41" i="4"/>
  <c r="E43" i="4"/>
  <c r="E44" i="4" s="1"/>
  <c r="E45" i="4"/>
  <c r="E46" i="4" s="1"/>
  <c r="E47" i="4"/>
  <c r="E48" i="4" s="1"/>
  <c r="E49" i="4"/>
  <c r="E52" i="4" s="1"/>
  <c r="E50" i="4"/>
  <c r="E51" i="4"/>
  <c r="E53" i="4"/>
  <c r="E56" i="4" s="1"/>
  <c r="E54" i="4"/>
  <c r="E55" i="4"/>
  <c r="E57" i="4"/>
  <c r="E60" i="4" s="1"/>
  <c r="E58" i="4"/>
  <c r="E59" i="4"/>
  <c r="E61" i="4"/>
  <c r="E64" i="4" s="1"/>
  <c r="E62" i="4"/>
  <c r="E63" i="4"/>
  <c r="E65" i="4"/>
  <c r="E66" i="4" s="1"/>
  <c r="E67" i="4"/>
  <c r="E70" i="4" s="1"/>
  <c r="E68" i="4"/>
  <c r="E69" i="4"/>
  <c r="E2" i="4"/>
  <c r="E5" i="4" l="1"/>
  <c r="E71" i="4" s="1"/>
  <c r="E73" i="4" s="1"/>
</calcChain>
</file>

<file path=xl/sharedStrings.xml><?xml version="1.0" encoding="utf-8"?>
<sst xmlns="http://schemas.openxmlformats.org/spreadsheetml/2006/main" count="968" uniqueCount="297">
  <si>
    <t>Who</t>
  </si>
  <si>
    <t>Time</t>
  </si>
  <si>
    <t>Email</t>
  </si>
  <si>
    <t>Date</t>
  </si>
  <si>
    <t>Total Minutes</t>
  </si>
  <si>
    <t>Tot</t>
  </si>
  <si>
    <t>Aldo Sean Sartor</t>
  </si>
  <si>
    <t>3h 35m 54s</t>
  </si>
  <si>
    <t>aldosean.sartor@unibo.it</t>
  </si>
  <si>
    <t>3h 3m 19s</t>
  </si>
  <si>
    <t>0h 10m 4s</t>
  </si>
  <si>
    <t>Aldo Sean Sartor Totale</t>
  </si>
  <si>
    <t>Alessio Benenati</t>
  </si>
  <si>
    <t>3h 33m 3s</t>
  </si>
  <si>
    <t>alessio.benenati2@unibo.it</t>
  </si>
  <si>
    <t>Alessio Benenati Totale</t>
  </si>
  <si>
    <t>Andrea Manfroni</t>
  </si>
  <si>
    <t>3h 44m 40s</t>
  </si>
  <si>
    <t>andrea.manfroni3@unibo.it</t>
  </si>
  <si>
    <t>Andrea Manfroni Totale</t>
  </si>
  <si>
    <t>Andrea Manfroni - andrea.manfroni@studio.unibo.it</t>
  </si>
  <si>
    <t>3h 30m 40s</t>
  </si>
  <si>
    <t>andrea.manfroni@studio.unibo.it</t>
  </si>
  <si>
    <t>2h 52m 37s</t>
  </si>
  <si>
    <t>Andrea Manfroni - andrea.manfroni@studio.unibo.it Totale</t>
  </si>
  <si>
    <t>Awad Bin Naeem</t>
  </si>
  <si>
    <t>3h 39m 18s</t>
  </si>
  <si>
    <t>awadbin.naeem2@unibo.it</t>
  </si>
  <si>
    <t>3h 43m 1s</t>
  </si>
  <si>
    <t>1h 32m 32s</t>
  </si>
  <si>
    <t>Awad Bin Naeem Totale</t>
  </si>
  <si>
    <t>Edoardo Merli - edoardo.merli@studio.unibo.it</t>
  </si>
  <si>
    <t>3h 26m 35s</t>
  </si>
  <si>
    <t>edoardo.merli@studio.unibo.it</t>
  </si>
  <si>
    <t>2h 51m 20s</t>
  </si>
  <si>
    <t>2h 25m 17s</t>
  </si>
  <si>
    <t>Edoardo Merli - edoardo.merli@studio.unibo.it Totale</t>
  </si>
  <si>
    <t>Fabio Antonello Ciraci - fabio.ciraci@studio.unibo.it</t>
  </si>
  <si>
    <t>3h 35m 7s</t>
  </si>
  <si>
    <t>fabio.ciraci@studio.unibo.it</t>
  </si>
  <si>
    <t>Fabio Antonello Ciraci - fabio.ciraci@studio.unibo.it Totale</t>
  </si>
  <si>
    <t>Gaetano Francesco Pittalà</t>
  </si>
  <si>
    <t>3h 47m 49s</t>
  </si>
  <si>
    <t>francesco.pittala@unibo.it</t>
  </si>
  <si>
    <t>3h 30m 8s</t>
  </si>
  <si>
    <t>Gaetano Francesco Pittalà Totale</t>
  </si>
  <si>
    <t>Gaia Ebli</t>
  </si>
  <si>
    <t>3h 13m 16s</t>
  </si>
  <si>
    <t>gaia.ebli@unibo.it</t>
  </si>
  <si>
    <t>3h 24m 51s</t>
  </si>
  <si>
    <t>gaia.ebli@studio.unibo.it</t>
  </si>
  <si>
    <t>3h 45m 27s</t>
  </si>
  <si>
    <t>Gaia Ebli Totale</t>
  </si>
  <si>
    <t>Ghulam Mustafa</t>
  </si>
  <si>
    <t>3h 36m 41s</t>
  </si>
  <si>
    <t>g.mustafa@unibo.it</t>
  </si>
  <si>
    <t>2h 51m 17s</t>
  </si>
  <si>
    <t>3h 16m 8s</t>
  </si>
  <si>
    <t>Ghulam Mustafa Totale</t>
  </si>
  <si>
    <t>Giacomo Vallasciani</t>
  </si>
  <si>
    <t>giacomo.vallasciani2@unibo.it</t>
  </si>
  <si>
    <t>3h 27m 14s</t>
  </si>
  <si>
    <t>3h 15m 46s</t>
  </si>
  <si>
    <t>Giacomo Vallasciani Totale</t>
  </si>
  <si>
    <t>Lorenzo Capelli</t>
  </si>
  <si>
    <t>1h 56m 41s</t>
  </si>
  <si>
    <t>l.capelli@unibo.it</t>
  </si>
  <si>
    <t>1h 29m 5s</t>
  </si>
  <si>
    <t>lorenzo.capelli5@studio.unibo.it</t>
  </si>
  <si>
    <t>3h 42m 54s</t>
  </si>
  <si>
    <t>2h 15m 24s</t>
  </si>
  <si>
    <t>Lorenzo Capelli Totale</t>
  </si>
  <si>
    <t>Lorenzo Paolini</t>
  </si>
  <si>
    <t>3h 35m 21s</t>
  </si>
  <si>
    <t>lorenzo.paolini11@unibo.it</t>
  </si>
  <si>
    <t>Lorenzo Paolini Totale</t>
  </si>
  <si>
    <t>Manuel Battigaglia</t>
  </si>
  <si>
    <t>2h 36m 51s</t>
  </si>
  <si>
    <t>manuel.battigaglia2@unibo.it</t>
  </si>
  <si>
    <t>Manuel Battigaglia Totale</t>
  </si>
  <si>
    <t>Marco Pirazzi</t>
  </si>
  <si>
    <t>3h 30m 43s</t>
  </si>
  <si>
    <t>marco.pirazzi2@unibo.it</t>
  </si>
  <si>
    <t>Marco Pirazzi Totale</t>
  </si>
  <si>
    <t>Massimo Rondelli - massimo.rondelli@studio.unibo.it</t>
  </si>
  <si>
    <t>3h 33m 2s</t>
  </si>
  <si>
    <t>massimo.rondelli@studio.unibo.it</t>
  </si>
  <si>
    <t>3h 37m 34s</t>
  </si>
  <si>
    <t>2h 36m 54s</t>
  </si>
  <si>
    <t>Massimo Rondelli - massimo.rondelli@studio.unibo.it Totale</t>
  </si>
  <si>
    <t>Matteo Francia</t>
  </si>
  <si>
    <t>3h 29m 3s</t>
  </si>
  <si>
    <t>m.francia@unibo.it</t>
  </si>
  <si>
    <t>3h 33m 25s</t>
  </si>
  <si>
    <t>3h 4m 34s</t>
  </si>
  <si>
    <t>Matteo Francia Totale</t>
  </si>
  <si>
    <t>Matteo Fusconi</t>
  </si>
  <si>
    <t>3h 37m 12s</t>
  </si>
  <si>
    <t>matteo.fusconi6@unibo.it</t>
  </si>
  <si>
    <t>1h 40m 43s</t>
  </si>
  <si>
    <t>2h 28m 54s</t>
  </si>
  <si>
    <t>Matteo Fusconi Totale</t>
  </si>
  <si>
    <t>Matteo Girasole</t>
  </si>
  <si>
    <t>3h 29m 50s</t>
  </si>
  <si>
    <t>matteo.girasole@unibo.it</t>
  </si>
  <si>
    <t>3h 47m 54s</t>
  </si>
  <si>
    <t>3h 10m 20s</t>
  </si>
  <si>
    <t>Matteo Girasole Totale</t>
  </si>
  <si>
    <t>Matteo Longhi - matteo.longhi5@studio.unibo.it</t>
  </si>
  <si>
    <t>3h 34m 4s</t>
  </si>
  <si>
    <t>matteo.longhi5@studio.unibo.it</t>
  </si>
  <si>
    <t>Matteo Longhi - matteo.longhi5@studio.unibo.it Totale</t>
  </si>
  <si>
    <t>Silvia Zandoli - silvia.zandoli2@studio.unibo.it</t>
  </si>
  <si>
    <t>1h 29m 29s</t>
  </si>
  <si>
    <t>silvia.zandoli2@studio.unibo.it</t>
  </si>
  <si>
    <t>4h 15m 38s</t>
  </si>
  <si>
    <t>3h 55m 28s</t>
  </si>
  <si>
    <t>Silvia Zandoli - silvia.zandoli2@studio.unibo.it Totale</t>
  </si>
  <si>
    <t>Totale complessivo</t>
  </si>
  <si>
    <t>1. Summary</t>
  </si>
  <si>
    <t>Meeting title</t>
  </si>
  <si>
    <t>[Ph.D.] Data Platforms and Artificial Intelligence: Challenges and Applications</t>
  </si>
  <si>
    <t>Attended participants</t>
  </si>
  <si>
    <t>Start time</t>
  </si>
  <si>
    <t>11/07/25, 12:53:35 PM</t>
  </si>
  <si>
    <t>End time</t>
  </si>
  <si>
    <t>11/07/25, 4:35:41 PM</t>
  </si>
  <si>
    <t>Meeting duration</t>
  </si>
  <si>
    <t>3h 42m 6s</t>
  </si>
  <si>
    <t>Average attendance time</t>
  </si>
  <si>
    <t>3h 14m 43s</t>
  </si>
  <si>
    <t>2. Participants</t>
  </si>
  <si>
    <t>Name</t>
  </si>
  <si>
    <t>First Join</t>
  </si>
  <si>
    <t>Last Leave</t>
  </si>
  <si>
    <t>In-Meeting Duration</t>
  </si>
  <si>
    <t>Participant ID (UPN)</t>
  </si>
  <si>
    <t>Role</t>
  </si>
  <si>
    <t>11/07/25, 1:02:57 PM</t>
  </si>
  <si>
    <t>11/07/25, 4:32:00 PM</t>
  </si>
  <si>
    <t>Organizer</t>
  </si>
  <si>
    <t>11/07/25, 12:53:37 PM</t>
  </si>
  <si>
    <t>11/07/25, 4:32:55 PM</t>
  </si>
  <si>
    <t>Presenter</t>
  </si>
  <si>
    <t>11/07/25, 12:54:48 PM</t>
  </si>
  <si>
    <t>11/07/25, 4:31:30 PM</t>
  </si>
  <si>
    <t>11/07/25, 12:54:57 PM</t>
  </si>
  <si>
    <t>11/07/25, 4:32:09 PM</t>
  </si>
  <si>
    <t>11/07/25, 12:55:24 PM</t>
  </si>
  <si>
    <t>11/07/25, 4:31:35 PM</t>
  </si>
  <si>
    <t>11/07/25, 12:55:36 PM</t>
  </si>
  <si>
    <t>11/07/25, 4:30:58 PM</t>
  </si>
  <si>
    <t>11/07/25, 12:55:38 PM</t>
  </si>
  <si>
    <t>11/07/25, 4:31:33 PM</t>
  </si>
  <si>
    <t>11/07/25, 12:56:18 PM</t>
  </si>
  <si>
    <t>11/07/25, 4:31:25 PM</t>
  </si>
  <si>
    <t>11/07/25, 12:58:30 PM</t>
  </si>
  <si>
    <t>11/07/25, 4:31:32 PM</t>
  </si>
  <si>
    <t>11/07/25, 12:59:36 PM</t>
  </si>
  <si>
    <t>11/07/25, 4:32:40 PM</t>
  </si>
  <si>
    <t>11/07/25, 1:00:09 PM</t>
  </si>
  <si>
    <t>11/07/25, 4:33:12 PM</t>
  </si>
  <si>
    <t>11/07/25, 1:00:40 PM</t>
  </si>
  <si>
    <t>11/07/25, 4:31:20 PM</t>
  </si>
  <si>
    <t>11/07/25, 1:00:44 PM</t>
  </si>
  <si>
    <t>11/07/25, 4:31:28 PM</t>
  </si>
  <si>
    <t>11/07/25, 1:01:49 PM</t>
  </si>
  <si>
    <t>11/07/25, 4:31:40 PM</t>
  </si>
  <si>
    <t>11/07/25, 1:04:24 PM</t>
  </si>
  <si>
    <t>11/07/25, 3:01:06 PM</t>
  </si>
  <si>
    <t>Gaia Ebli - gaia.ebli@studio.unibo.it</t>
  </si>
  <si>
    <t>11/07/25, 1:05:36 PM</t>
  </si>
  <si>
    <t>11/07/25, 4:32:06 PM</t>
  </si>
  <si>
    <t>11/07/25, 1:06:07 PM</t>
  </si>
  <si>
    <t>Lorenzo Capelli - lorenzo.capelli5@studio.unibo.it</t>
  </si>
  <si>
    <t>11/07/25, 3:03:03 PM</t>
  </si>
  <si>
    <t>11/07/25, 3:03:40 PM</t>
  </si>
  <si>
    <t>11/07/25, 4:33:09 PM</t>
  </si>
  <si>
    <t>3. In-Meeting Activities</t>
  </si>
  <si>
    <t>Join Time</t>
  </si>
  <si>
    <t>Leave Time</t>
  </si>
  <si>
    <t>Duration</t>
  </si>
  <si>
    <t>11/07/25, 12:56:24 PM</t>
  </si>
  <si>
    <t>59s</t>
  </si>
  <si>
    <t>11/07/25, 12:58:29 PM</t>
  </si>
  <si>
    <t>3h 33m 5s</t>
  </si>
  <si>
    <t>11/07/25, 1:08:07 PM</t>
  </si>
  <si>
    <t>2m 30s</t>
  </si>
  <si>
    <t>11/07/25, 1:09:45 PM</t>
  </si>
  <si>
    <t>3h 22m 21s</t>
  </si>
  <si>
    <t>11/07/25, 1:07:09 PM</t>
  </si>
  <si>
    <t>1m 2s</t>
  </si>
  <si>
    <t>11/07/25, 1:10:08 PM</t>
  </si>
  <si>
    <t>3h 25m 33s</t>
  </si>
  <si>
    <t>11/21/25, 12:29:31 PM</t>
  </si>
  <si>
    <t>11/21/25, 4:58:07 PM</t>
  </si>
  <si>
    <t>4h 28m 35s</t>
  </si>
  <si>
    <t>3h 21m 56s</t>
  </si>
  <si>
    <t>11/21/25, 1:11:37 PM</t>
  </si>
  <si>
    <t>11/21/25, 4:45:02 PM</t>
  </si>
  <si>
    <t>11/21/25, 12:29:36 PM</t>
  </si>
  <si>
    <t>11/21/25, 4:45:14 PM</t>
  </si>
  <si>
    <t>11/21/25, 12:50:36 PM</t>
  </si>
  <si>
    <t>11/21/25, 12:57:12 PM</t>
  </si>
  <si>
    <t>11/21/25, 4:45:06 PM</t>
  </si>
  <si>
    <t>11/21/25, 12:57:18 PM</t>
  </si>
  <si>
    <t>11/21/25, 4:45:07 PM</t>
  </si>
  <si>
    <t>11/21/25, 12:59:55 PM</t>
  </si>
  <si>
    <t>11/21/25, 4:45:22 PM</t>
  </si>
  <si>
    <t>11/21/25, 1:00:25 PM</t>
  </si>
  <si>
    <t>11/21/25, 1:00:29 PM</t>
  </si>
  <si>
    <t>11/21/25, 1:02:12 PM</t>
  </si>
  <si>
    <t>11/21/25, 1:07:33 PM</t>
  </si>
  <si>
    <t>11/21/25, 3:58:54 PM</t>
  </si>
  <si>
    <t>11/21/25, 4:45:08 PM</t>
  </si>
  <si>
    <t>11/21/25, 1:12:18 PM</t>
  </si>
  <si>
    <t>11/21/25, 4:45:13 PM</t>
  </si>
  <si>
    <t>11/21/25, 1:17:51 PM</t>
  </si>
  <si>
    <t>11/21/25, 4:45:05 PM</t>
  </si>
  <si>
    <t>11/21/25, 1:28:57 PM</t>
  </si>
  <si>
    <t>11/21/25, 3:21:09 PM</t>
  </si>
  <si>
    <t>11/21/25, 2:08:17 PM</t>
  </si>
  <si>
    <t>11/21/25, 2:32:37 PM</t>
  </si>
  <si>
    <t>1h 42m</t>
  </si>
  <si>
    <t>11/21/25, 2:34:15 PM</t>
  </si>
  <si>
    <t>11/21/25, 2:45:59 PM</t>
  </si>
  <si>
    <t>11m 43s</t>
  </si>
  <si>
    <t>11/21/25, 2:55:55 PM</t>
  </si>
  <si>
    <t>1h 49m 18s</t>
  </si>
  <si>
    <t>11/21/25, 1:09:39 PM</t>
  </si>
  <si>
    <t>9m 9s</t>
  </si>
  <si>
    <t>11/21/25, 1:40:47 PM</t>
  </si>
  <si>
    <t>11/21/25, 1:42:48 PM</t>
  </si>
  <si>
    <t>2m</t>
  </si>
  <si>
    <t>11/21/25, 2:17:58 PM</t>
  </si>
  <si>
    <t>2h 40m 8s</t>
  </si>
  <si>
    <t>11/21/25, 1:17:56 PM</t>
  </si>
  <si>
    <t>5m 37s</t>
  </si>
  <si>
    <t>11/21/25, 1:43:12 PM</t>
  </si>
  <si>
    <t>11/21/25, 1:56:02 PM</t>
  </si>
  <si>
    <t>12m 49s</t>
  </si>
  <si>
    <t>11/21/25, 2:00:20 PM</t>
  </si>
  <si>
    <t>2h 44m 53s</t>
  </si>
  <si>
    <t>11/21/25, 1:42:17 PM</t>
  </si>
  <si>
    <t>13m 20s</t>
  </si>
  <si>
    <t>11/21/25, 1:53:46 PM</t>
  </si>
  <si>
    <t>1h 27m 23s</t>
  </si>
  <si>
    <t>11/28/25, 12:23:59 PM</t>
  </si>
  <si>
    <t>11/28/25, 4:22:08 PM</t>
  </si>
  <si>
    <t>3h 58m 9s</t>
  </si>
  <si>
    <t>2h 41m 57s</t>
  </si>
  <si>
    <t>11/28/25, 1:13:21 PM</t>
  </si>
  <si>
    <t>11/28/25, 4:17:56 PM</t>
  </si>
  <si>
    <t>11/28/25, 12:24:03 PM</t>
  </si>
  <si>
    <t>11/28/25, 4:19:31 PM</t>
  </si>
  <si>
    <t>11/28/25, 12:46:09 PM</t>
  </si>
  <si>
    <t>11/28/25, 2:18:42 PM</t>
  </si>
  <si>
    <t>11/28/25, 12:49:27 PM</t>
  </si>
  <si>
    <t>11/28/25, 4:19:35 PM</t>
  </si>
  <si>
    <t>11/28/25, 1:00:05 PM</t>
  </si>
  <si>
    <t>11/28/25, 4:19:53 PM</t>
  </si>
  <si>
    <t>11/28/25, 1:01:51 PM</t>
  </si>
  <si>
    <t>11/28/25, 4:18:00 PM</t>
  </si>
  <si>
    <t>11/28/25, 1:05:00 PM</t>
  </si>
  <si>
    <t>11/28/25, 4:18:16 PM</t>
  </si>
  <si>
    <t>11/28/25, 1:06:05 PM</t>
  </si>
  <si>
    <t>11/28/25, 4:21:47 PM</t>
  </si>
  <si>
    <t>11/28/25, 1:06:22 PM</t>
  </si>
  <si>
    <t>11/28/25, 1:06:56 PM</t>
  </si>
  <si>
    <t>11/28/25, 3:29:30 PM</t>
  </si>
  <si>
    <t>11/28/25, 1:07:48 PM</t>
  </si>
  <si>
    <t>11/28/25, 1:17:53 PM</t>
  </si>
  <si>
    <t>10m 4s</t>
  </si>
  <si>
    <t>11/28/25, 1:41:39 PM</t>
  </si>
  <si>
    <t>11/28/25, 4:18:34 PM</t>
  </si>
  <si>
    <t>11/28/25, 1:48:37 PM</t>
  </si>
  <si>
    <t>11/28/25, 4:17:31 PM</t>
  </si>
  <si>
    <t>11/28/25, 1:52:47 PM</t>
  </si>
  <si>
    <t>11/28/25, 4:18:05 PM</t>
  </si>
  <si>
    <t>11/28/25, 3:52:37 PM</t>
  </si>
  <si>
    <t>2h 52m 31s</t>
  </si>
  <si>
    <t>11/28/25, 4:19:46 PM</t>
  </si>
  <si>
    <t>6s</t>
  </si>
  <si>
    <t>11/28/25, 3:50:02 PM</t>
  </si>
  <si>
    <t>2h 43m 57s</t>
  </si>
  <si>
    <t>11/28/25, 3:51:03 PM</t>
  </si>
  <si>
    <t>11/28/25, 4:17:21 PM</t>
  </si>
  <si>
    <t>26m 18s</t>
  </si>
  <si>
    <t>11/28/25, 4:21:42 PM</t>
  </si>
  <si>
    <t>5s</t>
  </si>
  <si>
    <t>11/28/25, 1:32:26 PM</t>
  </si>
  <si>
    <t>25m 30s</t>
  </si>
  <si>
    <t>11/28/25, 1:38:10 PM</t>
  </si>
  <si>
    <t>11/28/25, 2:07:17 PM</t>
  </si>
  <si>
    <t>29m 7s</t>
  </si>
  <si>
    <t>11/28/25, 2:08:42 PM</t>
  </si>
  <si>
    <t>1h 20m 47s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</si>
</sst>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1" applyFon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9" fontId="0" fillId="0" borderId="0" xfId="1" applyFont="1" applyAlignment="1">
      <alignment horizontal="left"/>
    </xf>
  </cellXfs>
  <cellStyles count="43">
    <cellStyle name="20% - Colore 1" xfId="20" builtinId="30" customBuiltin="1"/>
    <cellStyle name="20% - Colore 2" xfId="24" builtinId="34" customBuiltin="1"/>
    <cellStyle name="20% - Colore 3" xfId="28" builtinId="38" customBuiltin="1"/>
    <cellStyle name="20% - Colore 4" xfId="32" builtinId="42" customBuiltin="1"/>
    <cellStyle name="20% - Colore 5" xfId="36" builtinId="46" customBuiltin="1"/>
    <cellStyle name="20% - Colore 6" xfId="40" builtinId="50" customBuiltin="1"/>
    <cellStyle name="40% - Colore 1" xfId="21" builtinId="31" customBuiltin="1"/>
    <cellStyle name="40% - Colore 2" xfId="25" builtinId="35" customBuiltin="1"/>
    <cellStyle name="40% - Colore 3" xfId="29" builtinId="39" customBuiltin="1"/>
    <cellStyle name="40% - Colore 4" xfId="33" builtinId="43" customBuiltin="1"/>
    <cellStyle name="40% - Colore 5" xfId="37" builtinId="47" customBuiltin="1"/>
    <cellStyle name="40% - Colore 6" xfId="41" builtinId="51" customBuiltin="1"/>
    <cellStyle name="60% - Colore 1" xfId="22" builtinId="32" customBuiltin="1"/>
    <cellStyle name="60% - Colore 2" xfId="26" builtinId="36" customBuiltin="1"/>
    <cellStyle name="60% - Colore 3" xfId="30" builtinId="40" customBuiltin="1"/>
    <cellStyle name="60% - Colore 4" xfId="34" builtinId="44" customBuiltin="1"/>
    <cellStyle name="60% - Colore 5" xfId="38" builtinId="48" customBuiltin="1"/>
    <cellStyle name="60% - Colore 6" xfId="42" builtinId="52" customBuiltin="1"/>
    <cellStyle name="Calcolo" xfId="12" builtinId="22" customBuiltin="1"/>
    <cellStyle name="Cella collegata" xfId="13" builtinId="24" customBuiltin="1"/>
    <cellStyle name="Cella da controllare" xfId="14" builtinId="23" customBuiltin="1"/>
    <cellStyle name="Colore 1" xfId="19" builtinId="29" customBuiltin="1"/>
    <cellStyle name="Colore 2" xfId="23" builtinId="33" customBuiltin="1"/>
    <cellStyle name="Colore 3" xfId="27" builtinId="37" customBuiltin="1"/>
    <cellStyle name="Colore 4" xfId="31" builtinId="41" customBuiltin="1"/>
    <cellStyle name="Colore 5" xfId="35" builtinId="45" customBuiltin="1"/>
    <cellStyle name="Colore 6" xfId="39" builtinId="49" customBuiltin="1"/>
    <cellStyle name="Input" xfId="10" builtinId="20" customBuiltin="1"/>
    <cellStyle name="Neutrale" xfId="9" builtinId="28" customBuiltin="1"/>
    <cellStyle name="Normale" xfId="0" builtinId="0"/>
    <cellStyle name="Nota" xfId="16" builtinId="10" customBuiltin="1"/>
    <cellStyle name="Output" xfId="11" builtinId="21" customBuiltin="1"/>
    <cellStyle name="Percentuale" xfId="1" builtinId="5"/>
    <cellStyle name="Testo avviso" xfId="15" builtinId="11" customBuiltin="1"/>
    <cellStyle name="Testo descrittivo" xfId="17" builtinId="53" customBuiltin="1"/>
    <cellStyle name="Titolo" xfId="2" builtinId="15" customBuiltin="1"/>
    <cellStyle name="Titolo 1" xfId="3" builtinId="16" customBuiltin="1"/>
    <cellStyle name="Titolo 2" xfId="4" builtinId="17" customBuiltin="1"/>
    <cellStyle name="Titolo 3" xfId="5" builtinId="18" customBuiltin="1"/>
    <cellStyle name="Titolo 4" xfId="6" builtinId="19" customBuiltin="1"/>
    <cellStyle name="Totale" xfId="18" builtinId="25" customBuiltin="1"/>
    <cellStyle name="Valore non valido" xfId="8" builtinId="27" customBuiltin="1"/>
    <cellStyle name="Valore valido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A33" sqref="A33:XFD33"/>
    </sheetView>
  </sheetViews>
  <sheetFormatPr defaultRowHeight="14.45" outlineLevelRow="2"/>
  <cols>
    <col min="1" max="1" width="52.28515625" style="3" bestFit="1" customWidth="1"/>
    <col min="2" max="2" width="10.28515625" style="3" bestFit="1" customWidth="1"/>
    <col min="3" max="3" width="29.5703125" style="3" bestFit="1" customWidth="1"/>
    <col min="4" max="4" width="10.42578125" style="3" bestFit="1" customWidth="1"/>
    <col min="5" max="5" width="17" style="3" bestFit="1" customWidth="1"/>
    <col min="6" max="6" width="8.7109375" style="3"/>
    <col min="7" max="7" width="3.5703125" style="3" bestFit="1" customWidth="1"/>
    <col min="8" max="8" width="3.8554687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  <c r="H1">
        <v>606</v>
      </c>
    </row>
    <row r="2" spans="1:8" hidden="1" outlineLevel="2">
      <c r="A2" s="3" t="s">
        <v>6</v>
      </c>
      <c r="B2" s="3" t="s">
        <v>7</v>
      </c>
      <c r="C2" s="3" t="s">
        <v>8</v>
      </c>
      <c r="D2" s="4">
        <v>45968</v>
      </c>
      <c r="E2" s="3">
        <f>INT(
  VALUE(LEFT(B2,FIND("h",B2)-1))*60 +
  VALUE(MID(B2,FIND("h",B2)+2,FIND("m",B2)-FIND("h",B2)-2)) +
  VALUE(MID(B2,FIND("m",B2)+2,FIND("s",B2)-FIND("m",B2)-2))/60
)/$H$1</f>
        <v>0.3547854785478548</v>
      </c>
      <c r="G2" s="5"/>
    </row>
    <row r="3" spans="1:8" hidden="1" outlineLevel="2">
      <c r="A3" s="3" t="s">
        <v>6</v>
      </c>
      <c r="B3" s="3" t="s">
        <v>9</v>
      </c>
      <c r="C3" s="3" t="s">
        <v>8</v>
      </c>
      <c r="D3" s="4">
        <v>45982</v>
      </c>
      <c r="E3" s="3">
        <f t="shared" ref="E3:E69" si="0">INT(
  VALUE(LEFT(B3,FIND("h",B3)-1))*60 +
  VALUE(MID(B3,FIND("h",B3)+2,FIND("m",B3)-FIND("h",B3)-2)) +
  VALUE(MID(B3,FIND("m",B3)+2,FIND("s",B3)-FIND("m",B3)-2))/60
)/$H$1</f>
        <v>0.30198019801980197</v>
      </c>
    </row>
    <row r="4" spans="1:8" hidden="1" outlineLevel="2">
      <c r="A4" s="3" t="s">
        <v>6</v>
      </c>
      <c r="B4" s="3" t="s">
        <v>10</v>
      </c>
      <c r="C4" s="3" t="s">
        <v>8</v>
      </c>
      <c r="D4" s="4">
        <v>45989</v>
      </c>
      <c r="E4" s="3">
        <f t="shared" si="0"/>
        <v>1.65016501650165E-2</v>
      </c>
    </row>
    <row r="5" spans="1:8" outlineLevel="1" collapsed="1">
      <c r="A5" s="2" t="s">
        <v>11</v>
      </c>
      <c r="D5" s="4"/>
      <c r="E5" s="1">
        <f>SUBTOTAL(9,E2:E4)</f>
        <v>0.67326732673267331</v>
      </c>
    </row>
    <row r="6" spans="1:8" hidden="1" outlineLevel="2">
      <c r="A6" s="3" t="s">
        <v>12</v>
      </c>
      <c r="B6" s="3" t="s">
        <v>13</v>
      </c>
      <c r="C6" s="3" t="s">
        <v>14</v>
      </c>
      <c r="D6" s="4">
        <v>45968</v>
      </c>
      <c r="E6" s="1">
        <f t="shared" si="0"/>
        <v>0.35148514851485146</v>
      </c>
    </row>
    <row r="7" spans="1:8" outlineLevel="1" collapsed="1">
      <c r="A7" s="2" t="s">
        <v>15</v>
      </c>
      <c r="D7" s="4"/>
      <c r="E7" s="1">
        <f>SUBTOTAL(9,E6:E6)</f>
        <v>0.35148514851485146</v>
      </c>
    </row>
    <row r="8" spans="1:8" hidden="1" outlineLevel="2">
      <c r="A8" s="3" t="s">
        <v>16</v>
      </c>
      <c r="B8" s="3" t="s">
        <v>17</v>
      </c>
      <c r="C8" s="3" t="s">
        <v>18</v>
      </c>
      <c r="D8" s="4">
        <v>45982</v>
      </c>
      <c r="E8" s="1">
        <f t="shared" si="0"/>
        <v>0.36963696369636961</v>
      </c>
    </row>
    <row r="9" spans="1:8" outlineLevel="1" collapsed="1">
      <c r="A9" s="2" t="s">
        <v>19</v>
      </c>
      <c r="D9" s="4"/>
      <c r="E9" s="1">
        <f>SUBTOTAL(9,E8:E8)</f>
        <v>0.36963696369636961</v>
      </c>
    </row>
    <row r="10" spans="1:8" hidden="1" outlineLevel="2">
      <c r="A10" s="3" t="s">
        <v>20</v>
      </c>
      <c r="B10" s="3" t="s">
        <v>21</v>
      </c>
      <c r="C10" s="3" t="s">
        <v>22</v>
      </c>
      <c r="D10" s="4">
        <v>45968</v>
      </c>
      <c r="E10" s="1">
        <f t="shared" si="0"/>
        <v>0.34653465346534651</v>
      </c>
    </row>
    <row r="11" spans="1:8" hidden="1" outlineLevel="2">
      <c r="A11" s="3" t="s">
        <v>20</v>
      </c>
      <c r="B11" s="3" t="s">
        <v>23</v>
      </c>
      <c r="C11" s="3" t="s">
        <v>22</v>
      </c>
      <c r="D11" s="4">
        <v>45989</v>
      </c>
      <c r="E11" s="1">
        <f t="shared" si="0"/>
        <v>0.28382838283828382</v>
      </c>
    </row>
    <row r="12" spans="1:8" outlineLevel="1" collapsed="1">
      <c r="A12" s="2" t="s">
        <v>24</v>
      </c>
      <c r="D12" s="4"/>
      <c r="E12" s="1">
        <f>SUBTOTAL(9,E10:E11)</f>
        <v>0.63036303630363033</v>
      </c>
    </row>
    <row r="13" spans="1:8" hidden="1" outlineLevel="2">
      <c r="A13" s="3" t="s">
        <v>25</v>
      </c>
      <c r="B13" s="3" t="s">
        <v>26</v>
      </c>
      <c r="C13" s="3" t="s">
        <v>27</v>
      </c>
      <c r="D13" s="4">
        <v>45968</v>
      </c>
      <c r="E13" s="1">
        <f t="shared" si="0"/>
        <v>0.36138613861386137</v>
      </c>
    </row>
    <row r="14" spans="1:8" hidden="1" outlineLevel="2">
      <c r="A14" s="3" t="s">
        <v>25</v>
      </c>
      <c r="B14" s="3" t="s">
        <v>28</v>
      </c>
      <c r="C14" s="3" t="s">
        <v>27</v>
      </c>
      <c r="D14" s="4">
        <v>45982</v>
      </c>
      <c r="E14" s="1">
        <f t="shared" si="0"/>
        <v>0.367986798679868</v>
      </c>
    </row>
    <row r="15" spans="1:8" hidden="1" outlineLevel="2">
      <c r="A15" s="3" t="s">
        <v>25</v>
      </c>
      <c r="B15" s="3" t="s">
        <v>29</v>
      </c>
      <c r="C15" s="3" t="s">
        <v>27</v>
      </c>
      <c r="D15" s="4">
        <v>45989</v>
      </c>
      <c r="E15" s="1">
        <f t="shared" si="0"/>
        <v>0.15181518151815182</v>
      </c>
    </row>
    <row r="16" spans="1:8" outlineLevel="1" collapsed="1">
      <c r="A16" s="2" t="s">
        <v>30</v>
      </c>
      <c r="D16" s="4"/>
      <c r="E16" s="1">
        <f>SUBTOTAL(9,E13:E15)</f>
        <v>0.8811881188118813</v>
      </c>
    </row>
    <row r="17" spans="1:5" hidden="1" outlineLevel="2">
      <c r="A17" s="3" t="s">
        <v>31</v>
      </c>
      <c r="B17" s="3" t="s">
        <v>32</v>
      </c>
      <c r="C17" s="3" t="s">
        <v>33</v>
      </c>
      <c r="D17" s="4">
        <v>45968</v>
      </c>
      <c r="E17" s="1">
        <f t="shared" si="0"/>
        <v>0.33993399339933994</v>
      </c>
    </row>
    <row r="18" spans="1:5" hidden="1" outlineLevel="2">
      <c r="A18" s="3" t="s">
        <v>31</v>
      </c>
      <c r="B18" s="3" t="s">
        <v>34</v>
      </c>
      <c r="C18" s="3" t="s">
        <v>33</v>
      </c>
      <c r="D18" s="4">
        <v>45982</v>
      </c>
      <c r="E18" s="1">
        <f t="shared" si="0"/>
        <v>0.28217821782178215</v>
      </c>
    </row>
    <row r="19" spans="1:5" hidden="1" outlineLevel="2">
      <c r="A19" s="3" t="s">
        <v>31</v>
      </c>
      <c r="B19" s="3" t="s">
        <v>35</v>
      </c>
      <c r="C19" s="3" t="s">
        <v>33</v>
      </c>
      <c r="D19" s="4">
        <v>45989</v>
      </c>
      <c r="E19" s="1">
        <f t="shared" si="0"/>
        <v>0.23927392739273928</v>
      </c>
    </row>
    <row r="20" spans="1:5" outlineLevel="1" collapsed="1">
      <c r="A20" s="2" t="s">
        <v>36</v>
      </c>
      <c r="D20" s="4"/>
      <c r="E20" s="1">
        <f>SUBTOTAL(9,E17:E19)</f>
        <v>0.86138613861386149</v>
      </c>
    </row>
    <row r="21" spans="1:5" hidden="1" outlineLevel="2">
      <c r="A21" s="3" t="s">
        <v>37</v>
      </c>
      <c r="B21" s="3" t="s">
        <v>38</v>
      </c>
      <c r="C21" s="3" t="s">
        <v>39</v>
      </c>
      <c r="D21" s="4">
        <v>45968</v>
      </c>
      <c r="E21" s="1">
        <f t="shared" si="0"/>
        <v>0.3547854785478548</v>
      </c>
    </row>
    <row r="22" spans="1:5" outlineLevel="1" collapsed="1">
      <c r="A22" s="2" t="s">
        <v>40</v>
      </c>
      <c r="D22" s="4"/>
      <c r="E22" s="1">
        <f>SUBTOTAL(9,E21:E21)</f>
        <v>0.3547854785478548</v>
      </c>
    </row>
    <row r="23" spans="1:5" hidden="1" outlineLevel="2">
      <c r="A23" s="3" t="s">
        <v>41</v>
      </c>
      <c r="B23" s="3" t="s">
        <v>42</v>
      </c>
      <c r="C23" s="3" t="s">
        <v>43</v>
      </c>
      <c r="D23" s="4">
        <v>45982</v>
      </c>
      <c r="E23" s="1">
        <f t="shared" si="0"/>
        <v>0.37458745874587457</v>
      </c>
    </row>
    <row r="24" spans="1:5" hidden="1" outlineLevel="2">
      <c r="A24" s="3" t="s">
        <v>41</v>
      </c>
      <c r="B24" s="3" t="s">
        <v>44</v>
      </c>
      <c r="C24" s="3" t="s">
        <v>43</v>
      </c>
      <c r="D24" s="4">
        <v>45989</v>
      </c>
      <c r="E24" s="1">
        <f t="shared" si="0"/>
        <v>0.34653465346534651</v>
      </c>
    </row>
    <row r="25" spans="1:5" outlineLevel="1" collapsed="1">
      <c r="A25" s="2" t="s">
        <v>45</v>
      </c>
      <c r="D25" s="4"/>
      <c r="E25" s="1">
        <f>SUBTOTAL(9,E23:E24)</f>
        <v>0.72112211221122102</v>
      </c>
    </row>
    <row r="26" spans="1:5" hidden="1" outlineLevel="2">
      <c r="A26" s="3" t="s">
        <v>46</v>
      </c>
      <c r="B26" s="3" t="s">
        <v>47</v>
      </c>
      <c r="C26" s="3" t="s">
        <v>48</v>
      </c>
      <c r="D26" s="4">
        <v>45989</v>
      </c>
      <c r="E26" s="1">
        <f t="shared" si="0"/>
        <v>0.31848184818481851</v>
      </c>
    </row>
    <row r="27" spans="1:5" hidden="1" outlineLevel="2">
      <c r="A27" s="3" t="s">
        <v>46</v>
      </c>
      <c r="B27" s="3" t="s">
        <v>49</v>
      </c>
      <c r="C27" s="3" t="s">
        <v>50</v>
      </c>
      <c r="D27" s="4">
        <v>45968</v>
      </c>
      <c r="E27" s="1">
        <f t="shared" si="0"/>
        <v>0.33663366336633666</v>
      </c>
    </row>
    <row r="28" spans="1:5" hidden="1" outlineLevel="2">
      <c r="A28" s="3" t="s">
        <v>46</v>
      </c>
      <c r="B28" s="3" t="s">
        <v>51</v>
      </c>
      <c r="C28" s="3" t="s">
        <v>50</v>
      </c>
      <c r="D28" s="4">
        <v>45982</v>
      </c>
      <c r="E28" s="1">
        <f t="shared" si="0"/>
        <v>0.37128712871287128</v>
      </c>
    </row>
    <row r="29" spans="1:5" outlineLevel="1" collapsed="1">
      <c r="A29" s="2" t="s">
        <v>52</v>
      </c>
      <c r="D29" s="4"/>
      <c r="E29" s="1">
        <f>SUBTOTAL(9,E26:E28)</f>
        <v>1.0264026402640263</v>
      </c>
    </row>
    <row r="30" spans="1:5" hidden="1" outlineLevel="2">
      <c r="A30" s="3" t="s">
        <v>53</v>
      </c>
      <c r="B30" s="3" t="s">
        <v>54</v>
      </c>
      <c r="C30" s="3" t="s">
        <v>55</v>
      </c>
      <c r="D30" s="4">
        <v>45968</v>
      </c>
      <c r="E30" s="1">
        <f t="shared" si="0"/>
        <v>0.35643564356435642</v>
      </c>
    </row>
    <row r="31" spans="1:5" hidden="1" outlineLevel="2">
      <c r="A31" s="3" t="s">
        <v>53</v>
      </c>
      <c r="B31" s="3" t="s">
        <v>56</v>
      </c>
      <c r="C31" s="3" t="s">
        <v>55</v>
      </c>
      <c r="D31" s="4">
        <v>45982</v>
      </c>
      <c r="E31" s="1">
        <f t="shared" si="0"/>
        <v>0.28217821782178215</v>
      </c>
    </row>
    <row r="32" spans="1:5" hidden="1" outlineLevel="2">
      <c r="A32" s="3" t="s">
        <v>53</v>
      </c>
      <c r="B32" s="3" t="s">
        <v>57</v>
      </c>
      <c r="C32" s="3" t="s">
        <v>55</v>
      </c>
      <c r="D32" s="4">
        <v>45989</v>
      </c>
      <c r="E32" s="1">
        <f t="shared" si="0"/>
        <v>0.32343234323432341</v>
      </c>
    </row>
    <row r="33" spans="1:5" outlineLevel="1" collapsed="1">
      <c r="A33" s="2" t="s">
        <v>58</v>
      </c>
      <c r="D33" s="4"/>
      <c r="E33" s="1">
        <f>SUBTOTAL(9,E30:E32)</f>
        <v>0.96204620462046186</v>
      </c>
    </row>
    <row r="34" spans="1:5" hidden="1" outlineLevel="2">
      <c r="A34" s="3" t="s">
        <v>59</v>
      </c>
      <c r="B34" s="3" t="s">
        <v>13</v>
      </c>
      <c r="C34" s="3" t="s">
        <v>60</v>
      </c>
      <c r="D34" s="4">
        <v>45968</v>
      </c>
      <c r="E34" s="1">
        <f t="shared" si="0"/>
        <v>0.35148514851485146</v>
      </c>
    </row>
    <row r="35" spans="1:5" hidden="1" outlineLevel="2">
      <c r="A35" s="3" t="s">
        <v>59</v>
      </c>
      <c r="B35" s="3" t="s">
        <v>61</v>
      </c>
      <c r="C35" s="3" t="s">
        <v>60</v>
      </c>
      <c r="D35" s="4">
        <v>45982</v>
      </c>
      <c r="E35" s="1">
        <f t="shared" si="0"/>
        <v>0.34158415841584161</v>
      </c>
    </row>
    <row r="36" spans="1:5" hidden="1" outlineLevel="2">
      <c r="A36" s="3" t="s">
        <v>59</v>
      </c>
      <c r="B36" s="3" t="s">
        <v>62</v>
      </c>
      <c r="C36" s="3" t="s">
        <v>60</v>
      </c>
      <c r="D36" s="4">
        <v>45989</v>
      </c>
      <c r="E36" s="1">
        <f t="shared" si="0"/>
        <v>0.32178217821782179</v>
      </c>
    </row>
    <row r="37" spans="1:5" outlineLevel="1" collapsed="1">
      <c r="A37" s="2" t="s">
        <v>63</v>
      </c>
      <c r="D37" s="4"/>
      <c r="E37" s="1">
        <f>SUBTOTAL(9,E34:E36)</f>
        <v>1.0148514851485149</v>
      </c>
    </row>
    <row r="38" spans="1:5" hidden="1" outlineLevel="2">
      <c r="A38" s="3" t="s">
        <v>64</v>
      </c>
      <c r="B38" s="3" t="s">
        <v>65</v>
      </c>
      <c r="C38" s="3" t="s">
        <v>66</v>
      </c>
      <c r="D38" s="4">
        <v>45968</v>
      </c>
      <c r="E38" s="1">
        <f t="shared" si="0"/>
        <v>0.19141914191419143</v>
      </c>
    </row>
    <row r="39" spans="1:5" hidden="1" outlineLevel="2">
      <c r="A39" s="3" t="s">
        <v>64</v>
      </c>
      <c r="B39" s="3" t="s">
        <v>67</v>
      </c>
      <c r="C39" s="3" t="s">
        <v>68</v>
      </c>
      <c r="D39" s="4">
        <v>45968</v>
      </c>
      <c r="E39" s="1">
        <f t="shared" si="0"/>
        <v>0.14686468646864687</v>
      </c>
    </row>
    <row r="40" spans="1:5" hidden="1" outlineLevel="2">
      <c r="A40" s="3" t="s">
        <v>64</v>
      </c>
      <c r="B40" s="3" t="s">
        <v>69</v>
      </c>
      <c r="C40" s="3" t="s">
        <v>68</v>
      </c>
      <c r="D40" s="4">
        <v>45982</v>
      </c>
      <c r="E40" s="1">
        <f t="shared" si="0"/>
        <v>0.36633663366336633</v>
      </c>
    </row>
    <row r="41" spans="1:5" hidden="1" outlineLevel="2">
      <c r="A41" s="3" t="s">
        <v>64</v>
      </c>
      <c r="B41" s="3" t="s">
        <v>70</v>
      </c>
      <c r="C41" s="3" t="s">
        <v>68</v>
      </c>
      <c r="D41" s="4">
        <v>45989</v>
      </c>
      <c r="E41" s="1">
        <f t="shared" si="0"/>
        <v>0.22277227722772278</v>
      </c>
    </row>
    <row r="42" spans="1:5" outlineLevel="1" collapsed="1">
      <c r="A42" s="2" t="s">
        <v>71</v>
      </c>
      <c r="D42" s="4"/>
      <c r="E42" s="1">
        <f>SUBTOTAL(9,E38:E41)</f>
        <v>0.9273927392739274</v>
      </c>
    </row>
    <row r="43" spans="1:5" hidden="1" outlineLevel="2">
      <c r="A43" s="3" t="s">
        <v>72</v>
      </c>
      <c r="B43" s="3" t="s">
        <v>73</v>
      </c>
      <c r="C43" s="3" t="s">
        <v>74</v>
      </c>
      <c r="D43" s="4">
        <v>45968</v>
      </c>
      <c r="E43" s="1">
        <f t="shared" si="0"/>
        <v>0.3547854785478548</v>
      </c>
    </row>
    <row r="44" spans="1:5" outlineLevel="1" collapsed="1">
      <c r="A44" s="2" t="s">
        <v>75</v>
      </c>
      <c r="D44" s="4"/>
      <c r="E44" s="1">
        <f>SUBTOTAL(9,E43:E43)</f>
        <v>0.3547854785478548</v>
      </c>
    </row>
    <row r="45" spans="1:5" hidden="1" outlineLevel="2">
      <c r="A45" s="3" t="s">
        <v>76</v>
      </c>
      <c r="B45" s="3" t="s">
        <v>77</v>
      </c>
      <c r="C45" s="3" t="s">
        <v>78</v>
      </c>
      <c r="D45" s="4">
        <v>45982</v>
      </c>
      <c r="E45" s="1">
        <f t="shared" si="0"/>
        <v>0.25742574257425743</v>
      </c>
    </row>
    <row r="46" spans="1:5" outlineLevel="1" collapsed="1">
      <c r="A46" s="2" t="s">
        <v>79</v>
      </c>
      <c r="D46" s="4"/>
      <c r="E46" s="1">
        <f>SUBTOTAL(9,E45:E45)</f>
        <v>0.25742574257425743</v>
      </c>
    </row>
    <row r="47" spans="1:5" hidden="1" outlineLevel="2">
      <c r="A47" s="3" t="s">
        <v>80</v>
      </c>
      <c r="B47" s="3" t="s">
        <v>81</v>
      </c>
      <c r="C47" s="3" t="s">
        <v>82</v>
      </c>
      <c r="D47" s="4">
        <v>45968</v>
      </c>
      <c r="E47" s="1">
        <f t="shared" si="0"/>
        <v>0.34653465346534651</v>
      </c>
    </row>
    <row r="48" spans="1:5" outlineLevel="1" collapsed="1">
      <c r="A48" s="2" t="s">
        <v>83</v>
      </c>
      <c r="D48" s="4"/>
      <c r="E48" s="1">
        <f>SUBTOTAL(9,E47:E47)</f>
        <v>0.34653465346534651</v>
      </c>
    </row>
    <row r="49" spans="1:5" hidden="1" outlineLevel="2">
      <c r="A49" s="3" t="s">
        <v>84</v>
      </c>
      <c r="B49" s="3" t="s">
        <v>85</v>
      </c>
      <c r="C49" s="3" t="s">
        <v>86</v>
      </c>
      <c r="D49" s="4">
        <v>45968</v>
      </c>
      <c r="E49" s="1">
        <f t="shared" si="0"/>
        <v>0.35148514851485146</v>
      </c>
    </row>
    <row r="50" spans="1:5" hidden="1" outlineLevel="2">
      <c r="A50" s="3" t="s">
        <v>84</v>
      </c>
      <c r="B50" s="3" t="s">
        <v>87</v>
      </c>
      <c r="C50" s="3" t="s">
        <v>86</v>
      </c>
      <c r="D50" s="4">
        <v>45982</v>
      </c>
      <c r="E50" s="1">
        <f t="shared" si="0"/>
        <v>0.35808580858085809</v>
      </c>
    </row>
    <row r="51" spans="1:5" hidden="1" outlineLevel="2">
      <c r="A51" s="3" t="s">
        <v>84</v>
      </c>
      <c r="B51" s="3" t="s">
        <v>88</v>
      </c>
      <c r="C51" s="3" t="s">
        <v>86</v>
      </c>
      <c r="D51" s="4">
        <v>45989</v>
      </c>
      <c r="E51" s="1">
        <f t="shared" si="0"/>
        <v>0.25742574257425743</v>
      </c>
    </row>
    <row r="52" spans="1:5" outlineLevel="1" collapsed="1">
      <c r="A52" s="2" t="s">
        <v>89</v>
      </c>
      <c r="D52" s="4"/>
      <c r="E52" s="1">
        <f>SUBTOTAL(9,E49:E51)</f>
        <v>0.96699669966996704</v>
      </c>
    </row>
    <row r="53" spans="1:5" hidden="1" outlineLevel="2">
      <c r="A53" s="3" t="s">
        <v>90</v>
      </c>
      <c r="B53" s="3" t="s">
        <v>91</v>
      </c>
      <c r="C53" s="3" t="s">
        <v>92</v>
      </c>
      <c r="D53" s="4">
        <v>45968</v>
      </c>
      <c r="E53" s="1">
        <f t="shared" si="0"/>
        <v>0.34488448844884489</v>
      </c>
    </row>
    <row r="54" spans="1:5" hidden="1" outlineLevel="2">
      <c r="A54" s="3" t="s">
        <v>90</v>
      </c>
      <c r="B54" s="3" t="s">
        <v>93</v>
      </c>
      <c r="C54" s="3" t="s">
        <v>92</v>
      </c>
      <c r="D54" s="4">
        <v>45982</v>
      </c>
      <c r="E54" s="1">
        <f t="shared" si="0"/>
        <v>0.35148514851485146</v>
      </c>
    </row>
    <row r="55" spans="1:5" hidden="1" outlineLevel="2">
      <c r="A55" s="3" t="s">
        <v>90</v>
      </c>
      <c r="B55" s="3" t="s">
        <v>94</v>
      </c>
      <c r="C55" s="3" t="s">
        <v>92</v>
      </c>
      <c r="D55" s="4">
        <v>45989</v>
      </c>
      <c r="E55" s="1">
        <f t="shared" si="0"/>
        <v>0.30363036303630364</v>
      </c>
    </row>
    <row r="56" spans="1:5" outlineLevel="1" collapsed="1">
      <c r="A56" s="2" t="s">
        <v>95</v>
      </c>
      <c r="D56" s="4"/>
      <c r="E56" s="1">
        <f>SUBTOTAL(9,E53:E55)</f>
        <v>1</v>
      </c>
    </row>
    <row r="57" spans="1:5" hidden="1" outlineLevel="2">
      <c r="A57" s="3" t="s">
        <v>96</v>
      </c>
      <c r="B57" s="3" t="s">
        <v>97</v>
      </c>
      <c r="C57" s="3" t="s">
        <v>98</v>
      </c>
      <c r="D57" s="4">
        <v>45968</v>
      </c>
      <c r="E57" s="1">
        <f t="shared" si="0"/>
        <v>0.35808580858085809</v>
      </c>
    </row>
    <row r="58" spans="1:5" hidden="1" outlineLevel="2">
      <c r="A58" s="3" t="s">
        <v>96</v>
      </c>
      <c r="B58" s="3" t="s">
        <v>99</v>
      </c>
      <c r="C58" s="3" t="s">
        <v>98</v>
      </c>
      <c r="D58" s="4">
        <v>45982</v>
      </c>
      <c r="E58" s="1">
        <f t="shared" si="0"/>
        <v>0.16501650165016502</v>
      </c>
    </row>
    <row r="59" spans="1:5" hidden="1" outlineLevel="2">
      <c r="A59" s="3" t="s">
        <v>96</v>
      </c>
      <c r="B59" s="3" t="s">
        <v>100</v>
      </c>
      <c r="C59" s="3" t="s">
        <v>98</v>
      </c>
      <c r="D59" s="4">
        <v>45989</v>
      </c>
      <c r="E59" s="1">
        <f t="shared" si="0"/>
        <v>0.24422442244224424</v>
      </c>
    </row>
    <row r="60" spans="1:5" outlineLevel="1" collapsed="1">
      <c r="A60" s="2" t="s">
        <v>101</v>
      </c>
      <c r="D60" s="4"/>
      <c r="E60" s="1">
        <f>SUBTOTAL(9,E57:E59)</f>
        <v>0.76732673267326734</v>
      </c>
    </row>
    <row r="61" spans="1:5" hidden="1" outlineLevel="2">
      <c r="A61" s="3" t="s">
        <v>102</v>
      </c>
      <c r="B61" s="3" t="s">
        <v>103</v>
      </c>
      <c r="C61" s="3" t="s">
        <v>104</v>
      </c>
      <c r="D61" s="4">
        <v>45968</v>
      </c>
      <c r="E61" s="1">
        <f t="shared" si="0"/>
        <v>0.34488448844884489</v>
      </c>
    </row>
    <row r="62" spans="1:5" hidden="1" outlineLevel="2">
      <c r="A62" s="3" t="s">
        <v>102</v>
      </c>
      <c r="B62" s="3" t="s">
        <v>105</v>
      </c>
      <c r="C62" s="3" t="s">
        <v>104</v>
      </c>
      <c r="D62" s="4">
        <v>45982</v>
      </c>
      <c r="E62" s="1">
        <f t="shared" si="0"/>
        <v>0.37458745874587457</v>
      </c>
    </row>
    <row r="63" spans="1:5" hidden="1" outlineLevel="2">
      <c r="A63" s="3" t="s">
        <v>102</v>
      </c>
      <c r="B63" s="3" t="s">
        <v>106</v>
      </c>
      <c r="C63" s="3" t="s">
        <v>104</v>
      </c>
      <c r="D63" s="4">
        <v>45989</v>
      </c>
      <c r="E63" s="1">
        <f t="shared" si="0"/>
        <v>0.31353135313531355</v>
      </c>
    </row>
    <row r="64" spans="1:5" outlineLevel="1" collapsed="1">
      <c r="A64" s="2" t="s">
        <v>107</v>
      </c>
      <c r="D64" s="4"/>
      <c r="E64" s="1">
        <f>SUBTOTAL(9,E61:E63)</f>
        <v>1.0330033003300332</v>
      </c>
    </row>
    <row r="65" spans="1:5" hidden="1" outlineLevel="2">
      <c r="A65" s="3" t="s">
        <v>108</v>
      </c>
      <c r="B65" s="3" t="s">
        <v>109</v>
      </c>
      <c r="C65" s="3" t="s">
        <v>110</v>
      </c>
      <c r="D65" s="4">
        <v>45968</v>
      </c>
      <c r="E65" s="1">
        <f t="shared" si="0"/>
        <v>0.35313531353135313</v>
      </c>
    </row>
    <row r="66" spans="1:5" outlineLevel="1" collapsed="1">
      <c r="A66" s="2" t="s">
        <v>111</v>
      </c>
      <c r="D66" s="4"/>
      <c r="E66" s="1">
        <f>SUBTOTAL(9,E65:E65)</f>
        <v>0.35313531353135313</v>
      </c>
    </row>
    <row r="67" spans="1:5" hidden="1" outlineLevel="2">
      <c r="A67" s="3" t="s">
        <v>112</v>
      </c>
      <c r="B67" s="3" t="s">
        <v>113</v>
      </c>
      <c r="C67" s="3" t="s">
        <v>114</v>
      </c>
      <c r="D67" s="4">
        <v>45968</v>
      </c>
      <c r="E67" s="1">
        <f t="shared" si="0"/>
        <v>0.14686468646864687</v>
      </c>
    </row>
    <row r="68" spans="1:5" hidden="1" outlineLevel="2">
      <c r="A68" s="3" t="s">
        <v>112</v>
      </c>
      <c r="B68" s="3" t="s">
        <v>115</v>
      </c>
      <c r="C68" s="3" t="s">
        <v>114</v>
      </c>
      <c r="D68" s="4">
        <v>45982</v>
      </c>
      <c r="E68" s="1">
        <f t="shared" si="0"/>
        <v>0.42079207920792078</v>
      </c>
    </row>
    <row r="69" spans="1:5" hidden="1" outlineLevel="2">
      <c r="A69" s="3" t="s">
        <v>112</v>
      </c>
      <c r="B69" s="3" t="s">
        <v>116</v>
      </c>
      <c r="C69" s="3" t="s">
        <v>114</v>
      </c>
      <c r="D69" s="4">
        <v>45989</v>
      </c>
      <c r="E69" s="1">
        <f t="shared" si="0"/>
        <v>0.38778877887788776</v>
      </c>
    </row>
    <row r="70" spans="1:5" outlineLevel="1" collapsed="1">
      <c r="A70" s="2" t="s">
        <v>117</v>
      </c>
      <c r="D70" s="4"/>
      <c r="E70" s="1">
        <f>SUBTOTAL(9,E67:E69)</f>
        <v>0.95544554455445541</v>
      </c>
    </row>
    <row r="71" spans="1:5">
      <c r="A71" s="2" t="s">
        <v>118</v>
      </c>
      <c r="D71" s="4"/>
      <c r="E71" s="6">
        <f>SUBTOTAL(9,E2:E69)</f>
        <v>14.808580858085808</v>
      </c>
    </row>
    <row r="72" spans="1:5" outlineLevel="1"/>
    <row r="73" spans="1:5" outlineLevel="1">
      <c r="A73" s="2" t="s">
        <v>118</v>
      </c>
      <c r="E73" s="3">
        <f>SUBTOTAL(9,E2:E72)</f>
        <v>14.808580858085808</v>
      </c>
    </row>
  </sheetData>
  <autoFilter ref="A1:E69" xr:uid="{00000000-0009-0000-0000-000000000000}">
    <sortState xmlns:xlrd2="http://schemas.microsoft.com/office/spreadsheetml/2017/richdata2" ref="A2:E69">
      <sortCondition ref="A1:A69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"/>
  <sheetViews>
    <sheetView workbookViewId="0">
      <selection activeCell="G11" sqref="A11:G29"/>
    </sheetView>
  </sheetViews>
  <sheetFormatPr defaultRowHeight="14.45"/>
  <sheetData>
    <row r="1" spans="1:7">
      <c r="A1" t="s">
        <v>119</v>
      </c>
    </row>
    <row r="2" spans="1:7">
      <c r="A2" t="s">
        <v>120</v>
      </c>
      <c r="B2" t="s">
        <v>121</v>
      </c>
    </row>
    <row r="3" spans="1:7">
      <c r="A3" t="s">
        <v>122</v>
      </c>
      <c r="B3">
        <v>19</v>
      </c>
    </row>
    <row r="4" spans="1:7">
      <c r="A4" t="s">
        <v>123</v>
      </c>
      <c r="B4" t="s">
        <v>124</v>
      </c>
    </row>
    <row r="5" spans="1:7">
      <c r="A5" t="s">
        <v>125</v>
      </c>
      <c r="B5" t="s">
        <v>126</v>
      </c>
    </row>
    <row r="6" spans="1:7">
      <c r="A6" t="s">
        <v>127</v>
      </c>
      <c r="B6" t="s">
        <v>128</v>
      </c>
    </row>
    <row r="7" spans="1:7">
      <c r="A7" t="s">
        <v>129</v>
      </c>
      <c r="B7" t="s">
        <v>130</v>
      </c>
    </row>
    <row r="9" spans="1:7">
      <c r="A9" t="s">
        <v>131</v>
      </c>
    </row>
    <row r="10" spans="1:7">
      <c r="A10" t="s">
        <v>132</v>
      </c>
      <c r="B10" t="s">
        <v>133</v>
      </c>
      <c r="C10" t="s">
        <v>134</v>
      </c>
      <c r="D10" t="s">
        <v>135</v>
      </c>
      <c r="E10" t="s">
        <v>2</v>
      </c>
      <c r="F10" t="s">
        <v>136</v>
      </c>
      <c r="G10" t="s">
        <v>137</v>
      </c>
    </row>
    <row r="11" spans="1:7">
      <c r="A11" t="s">
        <v>90</v>
      </c>
      <c r="B11" t="s">
        <v>138</v>
      </c>
      <c r="C11" t="s">
        <v>139</v>
      </c>
      <c r="D11" t="s">
        <v>91</v>
      </c>
      <c r="E11" t="s">
        <v>92</v>
      </c>
      <c r="F11" t="s">
        <v>92</v>
      </c>
      <c r="G11" t="s">
        <v>140</v>
      </c>
    </row>
    <row r="12" spans="1:7">
      <c r="A12" t="s">
        <v>25</v>
      </c>
      <c r="B12" t="s">
        <v>141</v>
      </c>
      <c r="C12" t="s">
        <v>142</v>
      </c>
      <c r="D12" t="s">
        <v>26</v>
      </c>
      <c r="E12" t="s">
        <v>27</v>
      </c>
      <c r="F12" t="s">
        <v>27</v>
      </c>
      <c r="G12" t="s">
        <v>143</v>
      </c>
    </row>
    <row r="13" spans="1:7">
      <c r="A13" t="s">
        <v>53</v>
      </c>
      <c r="B13" t="s">
        <v>144</v>
      </c>
      <c r="C13" t="s">
        <v>145</v>
      </c>
      <c r="D13" t="s">
        <v>54</v>
      </c>
      <c r="E13" t="s">
        <v>55</v>
      </c>
      <c r="F13" t="s">
        <v>55</v>
      </c>
      <c r="G13" t="s">
        <v>143</v>
      </c>
    </row>
    <row r="14" spans="1:7">
      <c r="A14" t="s">
        <v>96</v>
      </c>
      <c r="B14" t="s">
        <v>146</v>
      </c>
      <c r="C14" t="s">
        <v>147</v>
      </c>
      <c r="D14" t="s">
        <v>97</v>
      </c>
      <c r="E14" t="s">
        <v>98</v>
      </c>
      <c r="F14" t="s">
        <v>98</v>
      </c>
      <c r="G14" t="s">
        <v>143</v>
      </c>
    </row>
    <row r="15" spans="1:7">
      <c r="A15" t="s">
        <v>108</v>
      </c>
      <c r="B15" t="s">
        <v>148</v>
      </c>
      <c r="C15" t="s">
        <v>149</v>
      </c>
      <c r="D15" t="s">
        <v>109</v>
      </c>
      <c r="E15" t="s">
        <v>110</v>
      </c>
      <c r="F15" t="s">
        <v>110</v>
      </c>
      <c r="G15" t="s">
        <v>143</v>
      </c>
    </row>
    <row r="16" spans="1:7">
      <c r="A16" t="s">
        <v>72</v>
      </c>
      <c r="B16" t="s">
        <v>150</v>
      </c>
      <c r="C16" t="s">
        <v>151</v>
      </c>
      <c r="D16" t="s">
        <v>73</v>
      </c>
      <c r="E16" t="s">
        <v>74</v>
      </c>
      <c r="F16" t="s">
        <v>74</v>
      </c>
      <c r="G16" t="s">
        <v>143</v>
      </c>
    </row>
    <row r="17" spans="1:7">
      <c r="A17" t="s">
        <v>6</v>
      </c>
      <c r="B17" t="s">
        <v>152</v>
      </c>
      <c r="C17" t="s">
        <v>153</v>
      </c>
      <c r="D17" t="s">
        <v>7</v>
      </c>
      <c r="E17" t="s">
        <v>8</v>
      </c>
      <c r="F17" t="s">
        <v>8</v>
      </c>
      <c r="G17" t="s">
        <v>143</v>
      </c>
    </row>
    <row r="18" spans="1:7">
      <c r="A18" t="s">
        <v>37</v>
      </c>
      <c r="B18" t="s">
        <v>154</v>
      </c>
      <c r="C18" t="s">
        <v>155</v>
      </c>
      <c r="D18" t="s">
        <v>38</v>
      </c>
      <c r="E18" t="s">
        <v>39</v>
      </c>
      <c r="F18" t="s">
        <v>39</v>
      </c>
      <c r="G18" t="s">
        <v>143</v>
      </c>
    </row>
    <row r="19" spans="1:7">
      <c r="A19" t="s">
        <v>84</v>
      </c>
      <c r="B19" t="s">
        <v>156</v>
      </c>
      <c r="C19" t="s">
        <v>157</v>
      </c>
      <c r="D19" t="s">
        <v>85</v>
      </c>
      <c r="E19" t="s">
        <v>86</v>
      </c>
      <c r="F19" t="s">
        <v>86</v>
      </c>
      <c r="G19" t="s">
        <v>143</v>
      </c>
    </row>
    <row r="20" spans="1:7">
      <c r="A20" t="s">
        <v>12</v>
      </c>
      <c r="B20" t="s">
        <v>158</v>
      </c>
      <c r="C20" t="s">
        <v>159</v>
      </c>
      <c r="D20" t="s">
        <v>13</v>
      </c>
      <c r="E20" t="s">
        <v>14</v>
      </c>
      <c r="F20" t="s">
        <v>14</v>
      </c>
      <c r="G20" t="s">
        <v>143</v>
      </c>
    </row>
    <row r="21" spans="1:7">
      <c r="A21" t="s">
        <v>59</v>
      </c>
      <c r="B21" t="s">
        <v>160</v>
      </c>
      <c r="C21" t="s">
        <v>161</v>
      </c>
      <c r="D21" t="s">
        <v>13</v>
      </c>
      <c r="E21" t="s">
        <v>60</v>
      </c>
      <c r="F21" t="s">
        <v>60</v>
      </c>
      <c r="G21" t="s">
        <v>143</v>
      </c>
    </row>
    <row r="22" spans="1:7">
      <c r="A22" t="s">
        <v>20</v>
      </c>
      <c r="B22" t="s">
        <v>162</v>
      </c>
      <c r="C22" t="s">
        <v>163</v>
      </c>
      <c r="D22" t="s">
        <v>21</v>
      </c>
      <c r="E22" t="s">
        <v>22</v>
      </c>
      <c r="F22" t="s">
        <v>22</v>
      </c>
      <c r="G22" t="s">
        <v>143</v>
      </c>
    </row>
    <row r="23" spans="1:7">
      <c r="A23" t="s">
        <v>80</v>
      </c>
      <c r="B23" t="s">
        <v>164</v>
      </c>
      <c r="C23" t="s">
        <v>165</v>
      </c>
      <c r="D23" t="s">
        <v>81</v>
      </c>
      <c r="E23" t="s">
        <v>82</v>
      </c>
      <c r="F23" t="s">
        <v>82</v>
      </c>
      <c r="G23" t="s">
        <v>143</v>
      </c>
    </row>
    <row r="24" spans="1:7">
      <c r="A24" t="s">
        <v>102</v>
      </c>
      <c r="B24" t="s">
        <v>166</v>
      </c>
      <c r="C24" t="s">
        <v>167</v>
      </c>
      <c r="D24" t="s">
        <v>103</v>
      </c>
      <c r="E24" t="s">
        <v>104</v>
      </c>
      <c r="F24" t="s">
        <v>104</v>
      </c>
      <c r="G24" t="s">
        <v>143</v>
      </c>
    </row>
    <row r="25" spans="1:7">
      <c r="A25" t="s">
        <v>64</v>
      </c>
      <c r="B25" t="s">
        <v>168</v>
      </c>
      <c r="C25" t="s">
        <v>169</v>
      </c>
      <c r="D25" t="s">
        <v>65</v>
      </c>
      <c r="E25" t="s">
        <v>66</v>
      </c>
      <c r="F25" t="s">
        <v>66</v>
      </c>
      <c r="G25" t="s">
        <v>143</v>
      </c>
    </row>
    <row r="26" spans="1:7">
      <c r="A26" t="s">
        <v>170</v>
      </c>
      <c r="B26" t="s">
        <v>171</v>
      </c>
      <c r="C26" t="s">
        <v>172</v>
      </c>
      <c r="D26" t="s">
        <v>49</v>
      </c>
      <c r="E26" t="s">
        <v>50</v>
      </c>
      <c r="F26" t="s">
        <v>50</v>
      </c>
      <c r="G26" t="s">
        <v>143</v>
      </c>
    </row>
    <row r="27" spans="1:7">
      <c r="A27" t="s">
        <v>31</v>
      </c>
      <c r="B27" t="s">
        <v>173</v>
      </c>
      <c r="C27" t="s">
        <v>126</v>
      </c>
      <c r="D27" t="s">
        <v>32</v>
      </c>
      <c r="E27" t="s">
        <v>33</v>
      </c>
      <c r="F27" t="s">
        <v>33</v>
      </c>
      <c r="G27" t="s">
        <v>143</v>
      </c>
    </row>
    <row r="28" spans="1:7">
      <c r="A28" t="s">
        <v>174</v>
      </c>
      <c r="B28" t="s">
        <v>175</v>
      </c>
      <c r="C28" t="s">
        <v>147</v>
      </c>
      <c r="D28" t="s">
        <v>67</v>
      </c>
      <c r="E28" t="s">
        <v>68</v>
      </c>
      <c r="F28" t="s">
        <v>68</v>
      </c>
      <c r="G28" t="s">
        <v>143</v>
      </c>
    </row>
    <row r="29" spans="1:7">
      <c r="A29" t="s">
        <v>112</v>
      </c>
      <c r="B29" t="s">
        <v>176</v>
      </c>
      <c r="C29" t="s">
        <v>177</v>
      </c>
      <c r="D29" t="s">
        <v>113</v>
      </c>
      <c r="E29" t="s">
        <v>114</v>
      </c>
      <c r="F29" t="s">
        <v>114</v>
      </c>
      <c r="G29" t="s">
        <v>143</v>
      </c>
    </row>
    <row r="31" spans="1:7">
      <c r="A31" t="s">
        <v>178</v>
      </c>
    </row>
    <row r="32" spans="1:7">
      <c r="A32" t="s">
        <v>132</v>
      </c>
      <c r="B32" t="s">
        <v>179</v>
      </c>
      <c r="C32" t="s">
        <v>180</v>
      </c>
      <c r="D32" t="s">
        <v>181</v>
      </c>
      <c r="E32" t="s">
        <v>2</v>
      </c>
      <c r="F32" t="s">
        <v>137</v>
      </c>
    </row>
    <row r="33" spans="1:6">
      <c r="A33" t="s">
        <v>90</v>
      </c>
      <c r="B33" t="s">
        <v>138</v>
      </c>
      <c r="C33" t="s">
        <v>139</v>
      </c>
      <c r="D33" t="s">
        <v>91</v>
      </c>
      <c r="E33" t="s">
        <v>92</v>
      </c>
      <c r="F33" t="s">
        <v>140</v>
      </c>
    </row>
    <row r="34" spans="1:6">
      <c r="A34" t="s">
        <v>25</v>
      </c>
      <c r="B34" t="s">
        <v>141</v>
      </c>
      <c r="C34" t="s">
        <v>142</v>
      </c>
      <c r="D34" t="s">
        <v>26</v>
      </c>
      <c r="E34" t="s">
        <v>27</v>
      </c>
      <c r="F34" t="s">
        <v>143</v>
      </c>
    </row>
    <row r="35" spans="1:6">
      <c r="A35" t="s">
        <v>53</v>
      </c>
      <c r="B35" t="s">
        <v>144</v>
      </c>
      <c r="C35" t="s">
        <v>145</v>
      </c>
      <c r="D35" t="s">
        <v>54</v>
      </c>
      <c r="E35" t="s">
        <v>55</v>
      </c>
      <c r="F35" t="s">
        <v>143</v>
      </c>
    </row>
    <row r="36" spans="1:6">
      <c r="A36" t="s">
        <v>96</v>
      </c>
      <c r="B36" t="s">
        <v>146</v>
      </c>
      <c r="C36" t="s">
        <v>147</v>
      </c>
      <c r="D36" t="s">
        <v>97</v>
      </c>
      <c r="E36" t="s">
        <v>98</v>
      </c>
      <c r="F36" t="s">
        <v>143</v>
      </c>
    </row>
    <row r="37" spans="1:6">
      <c r="A37" t="s">
        <v>108</v>
      </c>
      <c r="B37" t="s">
        <v>148</v>
      </c>
      <c r="C37" t="s">
        <v>182</v>
      </c>
      <c r="D37" t="s">
        <v>183</v>
      </c>
      <c r="E37" t="s">
        <v>110</v>
      </c>
      <c r="F37" t="s">
        <v>143</v>
      </c>
    </row>
    <row r="38" spans="1:6">
      <c r="A38" t="s">
        <v>108</v>
      </c>
      <c r="B38" t="s">
        <v>184</v>
      </c>
      <c r="C38" t="s">
        <v>149</v>
      </c>
      <c r="D38" t="s">
        <v>185</v>
      </c>
      <c r="E38" t="s">
        <v>110</v>
      </c>
      <c r="F38" t="s">
        <v>143</v>
      </c>
    </row>
    <row r="39" spans="1:6">
      <c r="A39" t="s">
        <v>72</v>
      </c>
      <c r="B39" t="s">
        <v>150</v>
      </c>
      <c r="C39" t="s">
        <v>151</v>
      </c>
      <c r="D39" t="s">
        <v>73</v>
      </c>
      <c r="E39" t="s">
        <v>74</v>
      </c>
      <c r="F39" t="s">
        <v>143</v>
      </c>
    </row>
    <row r="40" spans="1:6">
      <c r="A40" t="s">
        <v>6</v>
      </c>
      <c r="B40" t="s">
        <v>152</v>
      </c>
      <c r="C40" t="s">
        <v>153</v>
      </c>
      <c r="D40" t="s">
        <v>7</v>
      </c>
      <c r="E40" t="s">
        <v>8</v>
      </c>
      <c r="F40" t="s">
        <v>143</v>
      </c>
    </row>
    <row r="41" spans="1:6">
      <c r="A41" t="s">
        <v>37</v>
      </c>
      <c r="B41" t="s">
        <v>154</v>
      </c>
      <c r="C41" t="s">
        <v>155</v>
      </c>
      <c r="D41" t="s">
        <v>38</v>
      </c>
      <c r="E41" t="s">
        <v>39</v>
      </c>
      <c r="F41" t="s">
        <v>143</v>
      </c>
    </row>
    <row r="42" spans="1:6">
      <c r="A42" t="s">
        <v>84</v>
      </c>
      <c r="B42" t="s">
        <v>156</v>
      </c>
      <c r="C42" t="s">
        <v>157</v>
      </c>
      <c r="D42" t="s">
        <v>85</v>
      </c>
      <c r="E42" t="s">
        <v>86</v>
      </c>
      <c r="F42" t="s">
        <v>143</v>
      </c>
    </row>
    <row r="43" spans="1:6">
      <c r="A43" t="s">
        <v>12</v>
      </c>
      <c r="B43" t="s">
        <v>158</v>
      </c>
      <c r="C43" t="s">
        <v>159</v>
      </c>
      <c r="D43" t="s">
        <v>13</v>
      </c>
      <c r="E43" t="s">
        <v>14</v>
      </c>
      <c r="F43" t="s">
        <v>143</v>
      </c>
    </row>
    <row r="44" spans="1:6">
      <c r="A44" t="s">
        <v>59</v>
      </c>
      <c r="B44" t="s">
        <v>160</v>
      </c>
      <c r="C44" t="s">
        <v>161</v>
      </c>
      <c r="D44" t="s">
        <v>13</v>
      </c>
      <c r="E44" t="s">
        <v>60</v>
      </c>
      <c r="F44" t="s">
        <v>143</v>
      </c>
    </row>
    <row r="45" spans="1:6">
      <c r="A45" t="s">
        <v>20</v>
      </c>
      <c r="B45" t="s">
        <v>162</v>
      </c>
      <c r="C45" t="s">
        <v>163</v>
      </c>
      <c r="D45" t="s">
        <v>21</v>
      </c>
      <c r="E45" t="s">
        <v>22</v>
      </c>
      <c r="F45" t="s">
        <v>143</v>
      </c>
    </row>
    <row r="46" spans="1:6">
      <c r="A46" t="s">
        <v>80</v>
      </c>
      <c r="B46" t="s">
        <v>164</v>
      </c>
      <c r="C46" t="s">
        <v>165</v>
      </c>
      <c r="D46" t="s">
        <v>81</v>
      </c>
      <c r="E46" t="s">
        <v>82</v>
      </c>
      <c r="F46" t="s">
        <v>143</v>
      </c>
    </row>
    <row r="47" spans="1:6">
      <c r="A47" t="s">
        <v>102</v>
      </c>
      <c r="B47" t="s">
        <v>166</v>
      </c>
      <c r="C47" t="s">
        <v>167</v>
      </c>
      <c r="D47" t="s">
        <v>103</v>
      </c>
      <c r="E47" t="s">
        <v>104</v>
      </c>
      <c r="F47" t="s">
        <v>143</v>
      </c>
    </row>
    <row r="48" spans="1:6">
      <c r="A48" t="s">
        <v>64</v>
      </c>
      <c r="B48" t="s">
        <v>168</v>
      </c>
      <c r="C48" t="s">
        <v>169</v>
      </c>
      <c r="D48" t="s">
        <v>65</v>
      </c>
      <c r="E48" t="s">
        <v>66</v>
      </c>
      <c r="F48" t="s">
        <v>143</v>
      </c>
    </row>
    <row r="49" spans="1:6">
      <c r="A49" t="s">
        <v>170</v>
      </c>
      <c r="B49" t="s">
        <v>171</v>
      </c>
      <c r="C49" t="s">
        <v>186</v>
      </c>
      <c r="D49" t="s">
        <v>187</v>
      </c>
      <c r="E49" t="s">
        <v>50</v>
      </c>
      <c r="F49" t="s">
        <v>143</v>
      </c>
    </row>
    <row r="50" spans="1:6">
      <c r="A50" t="s">
        <v>170</v>
      </c>
      <c r="B50" t="s">
        <v>188</v>
      </c>
      <c r="C50" t="s">
        <v>172</v>
      </c>
      <c r="D50" t="s">
        <v>189</v>
      </c>
      <c r="E50" t="s">
        <v>50</v>
      </c>
      <c r="F50" t="s">
        <v>143</v>
      </c>
    </row>
    <row r="51" spans="1:6">
      <c r="A51" t="s">
        <v>31</v>
      </c>
      <c r="B51" t="s">
        <v>173</v>
      </c>
      <c r="C51" t="s">
        <v>190</v>
      </c>
      <c r="D51" t="s">
        <v>191</v>
      </c>
      <c r="E51" t="s">
        <v>33</v>
      </c>
      <c r="F51" t="s">
        <v>143</v>
      </c>
    </row>
    <row r="52" spans="1:6">
      <c r="A52" t="s">
        <v>31</v>
      </c>
      <c r="B52" t="s">
        <v>192</v>
      </c>
      <c r="C52" t="s">
        <v>126</v>
      </c>
      <c r="D52" t="s">
        <v>193</v>
      </c>
      <c r="E52" t="s">
        <v>33</v>
      </c>
      <c r="F52" t="s">
        <v>143</v>
      </c>
    </row>
    <row r="53" spans="1:6">
      <c r="A53" t="s">
        <v>174</v>
      </c>
      <c r="B53" t="s">
        <v>175</v>
      </c>
      <c r="C53" t="s">
        <v>147</v>
      </c>
      <c r="D53" t="s">
        <v>67</v>
      </c>
      <c r="E53" t="s">
        <v>68</v>
      </c>
      <c r="F53" t="s">
        <v>143</v>
      </c>
    </row>
    <row r="54" spans="1:6">
      <c r="A54" t="s">
        <v>112</v>
      </c>
      <c r="B54" t="s">
        <v>176</v>
      </c>
      <c r="C54" t="s">
        <v>177</v>
      </c>
      <c r="D54" t="s">
        <v>113</v>
      </c>
      <c r="E54" t="s">
        <v>114</v>
      </c>
      <c r="F54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workbookViewId="0">
      <selection activeCell="A11" sqref="A11:G25"/>
    </sheetView>
  </sheetViews>
  <sheetFormatPr defaultRowHeight="14.45"/>
  <sheetData>
    <row r="1" spans="1:7">
      <c r="A1" t="s">
        <v>119</v>
      </c>
    </row>
    <row r="2" spans="1:7">
      <c r="A2" t="s">
        <v>120</v>
      </c>
      <c r="B2" t="s">
        <v>121</v>
      </c>
    </row>
    <row r="3" spans="1:7">
      <c r="A3" t="s">
        <v>122</v>
      </c>
      <c r="B3">
        <v>15</v>
      </c>
    </row>
    <row r="4" spans="1:7">
      <c r="A4" t="s">
        <v>123</v>
      </c>
      <c r="B4" t="s">
        <v>194</v>
      </c>
    </row>
    <row r="5" spans="1:7">
      <c r="A5" t="s">
        <v>125</v>
      </c>
      <c r="B5" t="s">
        <v>195</v>
      </c>
    </row>
    <row r="6" spans="1:7">
      <c r="A6" t="s">
        <v>127</v>
      </c>
      <c r="B6" t="s">
        <v>196</v>
      </c>
    </row>
    <row r="7" spans="1:7">
      <c r="A7" t="s">
        <v>129</v>
      </c>
      <c r="B7" t="s">
        <v>197</v>
      </c>
    </row>
    <row r="9" spans="1:7">
      <c r="A9" t="s">
        <v>131</v>
      </c>
    </row>
    <row r="10" spans="1:7">
      <c r="A10" t="s">
        <v>132</v>
      </c>
      <c r="B10" t="s">
        <v>133</v>
      </c>
      <c r="C10" t="s">
        <v>134</v>
      </c>
      <c r="D10" t="s">
        <v>135</v>
      </c>
      <c r="E10" t="s">
        <v>2</v>
      </c>
      <c r="F10" t="s">
        <v>136</v>
      </c>
      <c r="G10" t="s">
        <v>137</v>
      </c>
    </row>
    <row r="11" spans="1:7">
      <c r="A11" t="s">
        <v>90</v>
      </c>
      <c r="B11" t="s">
        <v>198</v>
      </c>
      <c r="C11" t="s">
        <v>199</v>
      </c>
      <c r="D11" t="s">
        <v>93</v>
      </c>
      <c r="E11" t="s">
        <v>92</v>
      </c>
      <c r="F11" t="s">
        <v>92</v>
      </c>
      <c r="G11" t="s">
        <v>140</v>
      </c>
    </row>
    <row r="12" spans="1:7">
      <c r="A12" t="s">
        <v>112</v>
      </c>
      <c r="B12" t="s">
        <v>200</v>
      </c>
      <c r="C12" t="s">
        <v>201</v>
      </c>
      <c r="D12" t="s">
        <v>115</v>
      </c>
      <c r="E12" t="s">
        <v>114</v>
      </c>
      <c r="F12" t="s">
        <v>114</v>
      </c>
      <c r="G12" t="s">
        <v>143</v>
      </c>
    </row>
    <row r="13" spans="1:7">
      <c r="A13" t="s">
        <v>25</v>
      </c>
      <c r="B13" t="s">
        <v>202</v>
      </c>
      <c r="C13" t="s">
        <v>201</v>
      </c>
      <c r="D13" t="s">
        <v>28</v>
      </c>
      <c r="E13" t="s">
        <v>27</v>
      </c>
      <c r="F13" t="s">
        <v>27</v>
      </c>
      <c r="G13" t="s">
        <v>143</v>
      </c>
    </row>
    <row r="14" spans="1:7">
      <c r="A14" t="s">
        <v>102</v>
      </c>
      <c r="B14" t="s">
        <v>203</v>
      </c>
      <c r="C14" t="s">
        <v>204</v>
      </c>
      <c r="D14" t="s">
        <v>105</v>
      </c>
      <c r="E14" t="s">
        <v>104</v>
      </c>
      <c r="F14" t="s">
        <v>104</v>
      </c>
      <c r="G14" t="s">
        <v>143</v>
      </c>
    </row>
    <row r="15" spans="1:7">
      <c r="A15" t="s">
        <v>41</v>
      </c>
      <c r="B15" t="s">
        <v>205</v>
      </c>
      <c r="C15" t="s">
        <v>206</v>
      </c>
      <c r="D15" t="s">
        <v>42</v>
      </c>
      <c r="E15" t="s">
        <v>43</v>
      </c>
      <c r="F15" t="s">
        <v>43</v>
      </c>
      <c r="G15" t="s">
        <v>143</v>
      </c>
    </row>
    <row r="16" spans="1:7">
      <c r="A16" t="s">
        <v>170</v>
      </c>
      <c r="B16" t="s">
        <v>207</v>
      </c>
      <c r="C16" t="s">
        <v>208</v>
      </c>
      <c r="D16" t="s">
        <v>51</v>
      </c>
      <c r="E16" t="s">
        <v>50</v>
      </c>
      <c r="F16" t="s">
        <v>50</v>
      </c>
      <c r="G16" t="s">
        <v>143</v>
      </c>
    </row>
    <row r="17" spans="1:7">
      <c r="A17" t="s">
        <v>16</v>
      </c>
      <c r="B17" t="s">
        <v>209</v>
      </c>
      <c r="C17" t="s">
        <v>204</v>
      </c>
      <c r="D17" t="s">
        <v>17</v>
      </c>
      <c r="E17" t="s">
        <v>18</v>
      </c>
      <c r="F17" t="s">
        <v>18</v>
      </c>
      <c r="G17" t="s">
        <v>143</v>
      </c>
    </row>
    <row r="18" spans="1:7">
      <c r="A18" t="s">
        <v>53</v>
      </c>
      <c r="B18" t="s">
        <v>210</v>
      </c>
      <c r="C18" t="s">
        <v>195</v>
      </c>
      <c r="D18" t="s">
        <v>56</v>
      </c>
      <c r="E18" t="s">
        <v>55</v>
      </c>
      <c r="F18" t="s">
        <v>55</v>
      </c>
      <c r="G18" t="s">
        <v>143</v>
      </c>
    </row>
    <row r="19" spans="1:7">
      <c r="A19" t="s">
        <v>174</v>
      </c>
      <c r="B19" t="s">
        <v>211</v>
      </c>
      <c r="C19" t="s">
        <v>204</v>
      </c>
      <c r="D19" t="s">
        <v>69</v>
      </c>
      <c r="E19" t="s">
        <v>68</v>
      </c>
      <c r="F19" t="s">
        <v>68</v>
      </c>
      <c r="G19" t="s">
        <v>143</v>
      </c>
    </row>
    <row r="20" spans="1:7">
      <c r="A20" t="s">
        <v>31</v>
      </c>
      <c r="B20" t="s">
        <v>212</v>
      </c>
      <c r="C20" t="s">
        <v>213</v>
      </c>
      <c r="D20" t="s">
        <v>34</v>
      </c>
      <c r="E20" t="s">
        <v>33</v>
      </c>
      <c r="F20" t="s">
        <v>33</v>
      </c>
      <c r="G20" t="s">
        <v>143</v>
      </c>
    </row>
    <row r="21" spans="1:7">
      <c r="A21" t="s">
        <v>84</v>
      </c>
      <c r="B21" t="s">
        <v>212</v>
      </c>
      <c r="C21" t="s">
        <v>214</v>
      </c>
      <c r="D21" t="s">
        <v>87</v>
      </c>
      <c r="E21" t="s">
        <v>86</v>
      </c>
      <c r="F21" t="s">
        <v>86</v>
      </c>
      <c r="G21" t="s">
        <v>143</v>
      </c>
    </row>
    <row r="22" spans="1:7">
      <c r="A22" t="s">
        <v>6</v>
      </c>
      <c r="B22" t="s">
        <v>215</v>
      </c>
      <c r="C22" t="s">
        <v>216</v>
      </c>
      <c r="D22" t="s">
        <v>9</v>
      </c>
      <c r="E22" t="s">
        <v>8</v>
      </c>
      <c r="F22" t="s">
        <v>8</v>
      </c>
      <c r="G22" t="s">
        <v>143</v>
      </c>
    </row>
    <row r="23" spans="1:7">
      <c r="A23" t="s">
        <v>59</v>
      </c>
      <c r="B23" t="s">
        <v>217</v>
      </c>
      <c r="C23" t="s">
        <v>218</v>
      </c>
      <c r="D23" t="s">
        <v>61</v>
      </c>
      <c r="E23" t="s">
        <v>60</v>
      </c>
      <c r="F23" t="s">
        <v>60</v>
      </c>
      <c r="G23" t="s">
        <v>143</v>
      </c>
    </row>
    <row r="24" spans="1:7">
      <c r="A24" t="s">
        <v>96</v>
      </c>
      <c r="B24" t="s">
        <v>219</v>
      </c>
      <c r="C24" t="s">
        <v>220</v>
      </c>
      <c r="D24" t="s">
        <v>99</v>
      </c>
      <c r="E24" t="s">
        <v>98</v>
      </c>
      <c r="F24" t="s">
        <v>98</v>
      </c>
      <c r="G24" t="s">
        <v>143</v>
      </c>
    </row>
    <row r="25" spans="1:7">
      <c r="A25" t="s">
        <v>76</v>
      </c>
      <c r="B25" t="s">
        <v>221</v>
      </c>
      <c r="C25" t="s">
        <v>214</v>
      </c>
      <c r="D25" t="s">
        <v>77</v>
      </c>
      <c r="E25" t="s">
        <v>78</v>
      </c>
      <c r="F25" t="s">
        <v>78</v>
      </c>
      <c r="G25" t="s">
        <v>143</v>
      </c>
    </row>
    <row r="27" spans="1:7">
      <c r="A27" t="s">
        <v>178</v>
      </c>
    </row>
    <row r="28" spans="1:7">
      <c r="A28" t="s">
        <v>132</v>
      </c>
      <c r="B28" t="s">
        <v>179</v>
      </c>
      <c r="C28" t="s">
        <v>180</v>
      </c>
      <c r="D28" t="s">
        <v>181</v>
      </c>
      <c r="E28" t="s">
        <v>2</v>
      </c>
      <c r="F28" t="s">
        <v>137</v>
      </c>
    </row>
    <row r="29" spans="1:7">
      <c r="A29" t="s">
        <v>90</v>
      </c>
      <c r="B29" t="s">
        <v>198</v>
      </c>
      <c r="C29" t="s">
        <v>199</v>
      </c>
      <c r="D29" t="s">
        <v>93</v>
      </c>
      <c r="E29" t="s">
        <v>92</v>
      </c>
      <c r="F29" t="s">
        <v>140</v>
      </c>
    </row>
    <row r="30" spans="1:7">
      <c r="A30" t="s">
        <v>112</v>
      </c>
      <c r="B30" t="s">
        <v>200</v>
      </c>
      <c r="C30" t="s">
        <v>201</v>
      </c>
      <c r="D30" t="s">
        <v>115</v>
      </c>
      <c r="E30" t="s">
        <v>114</v>
      </c>
      <c r="F30" t="s">
        <v>143</v>
      </c>
    </row>
    <row r="31" spans="1:7">
      <c r="A31" t="s">
        <v>25</v>
      </c>
      <c r="B31" t="s">
        <v>202</v>
      </c>
      <c r="C31" t="s">
        <v>222</v>
      </c>
      <c r="D31" t="s">
        <v>223</v>
      </c>
      <c r="E31" t="s">
        <v>27</v>
      </c>
      <c r="F31" t="s">
        <v>143</v>
      </c>
    </row>
    <row r="32" spans="1:7">
      <c r="A32" t="s">
        <v>25</v>
      </c>
      <c r="B32" t="s">
        <v>224</v>
      </c>
      <c r="C32" t="s">
        <v>225</v>
      </c>
      <c r="D32" t="s">
        <v>226</v>
      </c>
      <c r="E32" t="s">
        <v>27</v>
      </c>
      <c r="F32" t="s">
        <v>143</v>
      </c>
    </row>
    <row r="33" spans="1:6">
      <c r="A33" t="s">
        <v>25</v>
      </c>
      <c r="B33" t="s">
        <v>227</v>
      </c>
      <c r="C33" t="s">
        <v>201</v>
      </c>
      <c r="D33" t="s">
        <v>228</v>
      </c>
      <c r="E33" t="s">
        <v>27</v>
      </c>
      <c r="F33" t="s">
        <v>143</v>
      </c>
    </row>
    <row r="34" spans="1:6">
      <c r="A34" t="s">
        <v>102</v>
      </c>
      <c r="B34" t="s">
        <v>203</v>
      </c>
      <c r="C34" t="s">
        <v>204</v>
      </c>
      <c r="D34" t="s">
        <v>105</v>
      </c>
      <c r="E34" t="s">
        <v>104</v>
      </c>
      <c r="F34" t="s">
        <v>143</v>
      </c>
    </row>
    <row r="35" spans="1:6">
      <c r="A35" t="s">
        <v>41</v>
      </c>
      <c r="B35" t="s">
        <v>205</v>
      </c>
      <c r="C35" t="s">
        <v>206</v>
      </c>
      <c r="D35" t="s">
        <v>42</v>
      </c>
      <c r="E35" t="s">
        <v>43</v>
      </c>
      <c r="F35" t="s">
        <v>143</v>
      </c>
    </row>
    <row r="36" spans="1:6">
      <c r="A36" t="s">
        <v>170</v>
      </c>
      <c r="B36" t="s">
        <v>207</v>
      </c>
      <c r="C36" t="s">
        <v>208</v>
      </c>
      <c r="D36" t="s">
        <v>51</v>
      </c>
      <c r="E36" t="s">
        <v>50</v>
      </c>
      <c r="F36" t="s">
        <v>143</v>
      </c>
    </row>
    <row r="37" spans="1:6">
      <c r="A37" t="s">
        <v>16</v>
      </c>
      <c r="B37" t="s">
        <v>209</v>
      </c>
      <c r="C37" t="s">
        <v>204</v>
      </c>
      <c r="D37" t="s">
        <v>17</v>
      </c>
      <c r="E37" t="s">
        <v>18</v>
      </c>
      <c r="F37" t="s">
        <v>143</v>
      </c>
    </row>
    <row r="38" spans="1:6">
      <c r="A38" t="s">
        <v>53</v>
      </c>
      <c r="B38" t="s">
        <v>210</v>
      </c>
      <c r="C38" t="s">
        <v>229</v>
      </c>
      <c r="D38" t="s">
        <v>230</v>
      </c>
      <c r="E38" t="s">
        <v>55</v>
      </c>
      <c r="F38" t="s">
        <v>143</v>
      </c>
    </row>
    <row r="39" spans="1:6">
      <c r="A39" t="s">
        <v>53</v>
      </c>
      <c r="B39" t="s">
        <v>231</v>
      </c>
      <c r="C39" t="s">
        <v>232</v>
      </c>
      <c r="D39" t="s">
        <v>233</v>
      </c>
      <c r="E39" t="s">
        <v>55</v>
      </c>
      <c r="F39" t="s">
        <v>143</v>
      </c>
    </row>
    <row r="40" spans="1:6">
      <c r="A40" t="s">
        <v>53</v>
      </c>
      <c r="B40" t="s">
        <v>234</v>
      </c>
      <c r="C40" t="s">
        <v>195</v>
      </c>
      <c r="D40" t="s">
        <v>235</v>
      </c>
      <c r="E40" t="s">
        <v>55</v>
      </c>
      <c r="F40" t="s">
        <v>143</v>
      </c>
    </row>
    <row r="41" spans="1:6">
      <c r="A41" t="s">
        <v>174</v>
      </c>
      <c r="B41" t="s">
        <v>211</v>
      </c>
      <c r="C41" t="s">
        <v>204</v>
      </c>
      <c r="D41" t="s">
        <v>69</v>
      </c>
      <c r="E41" t="s">
        <v>68</v>
      </c>
      <c r="F41" t="s">
        <v>143</v>
      </c>
    </row>
    <row r="42" spans="1:6">
      <c r="A42" t="s">
        <v>31</v>
      </c>
      <c r="B42" t="s">
        <v>212</v>
      </c>
      <c r="C42" t="s">
        <v>213</v>
      </c>
      <c r="D42" t="s">
        <v>34</v>
      </c>
      <c r="E42" t="s">
        <v>33</v>
      </c>
      <c r="F42" t="s">
        <v>143</v>
      </c>
    </row>
    <row r="43" spans="1:6">
      <c r="A43" t="s">
        <v>84</v>
      </c>
      <c r="B43" t="s">
        <v>212</v>
      </c>
      <c r="C43" t="s">
        <v>214</v>
      </c>
      <c r="D43" t="s">
        <v>87</v>
      </c>
      <c r="E43" t="s">
        <v>86</v>
      </c>
      <c r="F43" t="s">
        <v>143</v>
      </c>
    </row>
    <row r="44" spans="1:6">
      <c r="A44" t="s">
        <v>6</v>
      </c>
      <c r="B44" t="s">
        <v>215</v>
      </c>
      <c r="C44" t="s">
        <v>236</v>
      </c>
      <c r="D44" t="s">
        <v>237</v>
      </c>
      <c r="E44" t="s">
        <v>8</v>
      </c>
      <c r="F44" t="s">
        <v>143</v>
      </c>
    </row>
    <row r="45" spans="1:6">
      <c r="A45" t="s">
        <v>6</v>
      </c>
      <c r="B45" t="s">
        <v>238</v>
      </c>
      <c r="C45" t="s">
        <v>239</v>
      </c>
      <c r="D45" t="s">
        <v>240</v>
      </c>
      <c r="E45" t="s">
        <v>8</v>
      </c>
      <c r="F45" t="s">
        <v>143</v>
      </c>
    </row>
    <row r="46" spans="1:6">
      <c r="A46" t="s">
        <v>6</v>
      </c>
      <c r="B46" t="s">
        <v>241</v>
      </c>
      <c r="C46" t="s">
        <v>216</v>
      </c>
      <c r="D46" t="s">
        <v>242</v>
      </c>
      <c r="E46" t="s">
        <v>8</v>
      </c>
      <c r="F46" t="s">
        <v>143</v>
      </c>
    </row>
    <row r="47" spans="1:6">
      <c r="A47" t="s">
        <v>59</v>
      </c>
      <c r="B47" t="s">
        <v>217</v>
      </c>
      <c r="C47" t="s">
        <v>218</v>
      </c>
      <c r="D47" t="s">
        <v>61</v>
      </c>
      <c r="E47" t="s">
        <v>60</v>
      </c>
      <c r="F47" t="s">
        <v>143</v>
      </c>
    </row>
    <row r="48" spans="1:6">
      <c r="A48" t="s">
        <v>96</v>
      </c>
      <c r="B48" t="s">
        <v>219</v>
      </c>
      <c r="C48" t="s">
        <v>243</v>
      </c>
      <c r="D48" t="s">
        <v>244</v>
      </c>
      <c r="E48" t="s">
        <v>98</v>
      </c>
      <c r="F48" t="s">
        <v>143</v>
      </c>
    </row>
    <row r="49" spans="1:6">
      <c r="A49" t="s">
        <v>96</v>
      </c>
      <c r="B49" t="s">
        <v>245</v>
      </c>
      <c r="C49" t="s">
        <v>220</v>
      </c>
      <c r="D49" t="s">
        <v>246</v>
      </c>
      <c r="E49" t="s">
        <v>98</v>
      </c>
      <c r="F49" t="s">
        <v>143</v>
      </c>
    </row>
    <row r="50" spans="1:6">
      <c r="A50" t="s">
        <v>76</v>
      </c>
      <c r="B50" t="s">
        <v>221</v>
      </c>
      <c r="C50" t="s">
        <v>214</v>
      </c>
      <c r="D50" t="s">
        <v>77</v>
      </c>
      <c r="E50" t="s">
        <v>78</v>
      </c>
      <c r="F50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workbookViewId="0">
      <selection activeCell="G11" sqref="A11:G24"/>
    </sheetView>
  </sheetViews>
  <sheetFormatPr defaultRowHeight="14.45"/>
  <sheetData>
    <row r="1" spans="1:7">
      <c r="A1" t="s">
        <v>119</v>
      </c>
    </row>
    <row r="2" spans="1:7">
      <c r="A2" t="s">
        <v>120</v>
      </c>
      <c r="B2" t="s">
        <v>121</v>
      </c>
    </row>
    <row r="3" spans="1:7">
      <c r="A3" t="s">
        <v>122</v>
      </c>
      <c r="B3">
        <v>14</v>
      </c>
    </row>
    <row r="4" spans="1:7">
      <c r="A4" t="s">
        <v>123</v>
      </c>
      <c r="B4" t="s">
        <v>247</v>
      </c>
    </row>
    <row r="5" spans="1:7">
      <c r="A5" t="s">
        <v>125</v>
      </c>
      <c r="B5" t="s">
        <v>248</v>
      </c>
    </row>
    <row r="6" spans="1:7">
      <c r="A6" t="s">
        <v>127</v>
      </c>
      <c r="B6" t="s">
        <v>249</v>
      </c>
    </row>
    <row r="7" spans="1:7">
      <c r="A7" t="s">
        <v>129</v>
      </c>
      <c r="B7" t="s">
        <v>250</v>
      </c>
    </row>
    <row r="9" spans="1:7">
      <c r="A9" t="s">
        <v>131</v>
      </c>
    </row>
    <row r="10" spans="1:7">
      <c r="A10" t="s">
        <v>132</v>
      </c>
      <c r="B10" t="s">
        <v>133</v>
      </c>
      <c r="C10" t="s">
        <v>134</v>
      </c>
      <c r="D10" t="s">
        <v>135</v>
      </c>
      <c r="E10" t="s">
        <v>2</v>
      </c>
      <c r="F10" t="s">
        <v>136</v>
      </c>
      <c r="G10" t="s">
        <v>137</v>
      </c>
    </row>
    <row r="11" spans="1:7">
      <c r="A11" t="s">
        <v>90</v>
      </c>
      <c r="B11" t="s">
        <v>251</v>
      </c>
      <c r="C11" t="s">
        <v>252</v>
      </c>
      <c r="D11" t="s">
        <v>94</v>
      </c>
      <c r="E11" t="s">
        <v>92</v>
      </c>
      <c r="F11" t="s">
        <v>92</v>
      </c>
      <c r="G11" t="s">
        <v>140</v>
      </c>
    </row>
    <row r="12" spans="1:7">
      <c r="A12" t="s">
        <v>112</v>
      </c>
      <c r="B12" t="s">
        <v>253</v>
      </c>
      <c r="C12" t="s">
        <v>254</v>
      </c>
      <c r="D12" t="s">
        <v>116</v>
      </c>
      <c r="E12" t="s">
        <v>114</v>
      </c>
      <c r="F12" t="s">
        <v>114</v>
      </c>
      <c r="G12" t="s">
        <v>143</v>
      </c>
    </row>
    <row r="13" spans="1:7">
      <c r="A13" t="s">
        <v>25</v>
      </c>
      <c r="B13" t="s">
        <v>255</v>
      </c>
      <c r="C13" t="s">
        <v>256</v>
      </c>
      <c r="D13" t="s">
        <v>29</v>
      </c>
      <c r="E13" t="s">
        <v>27</v>
      </c>
      <c r="F13" t="s">
        <v>27</v>
      </c>
      <c r="G13" t="s">
        <v>143</v>
      </c>
    </row>
    <row r="14" spans="1:7">
      <c r="A14" t="s">
        <v>41</v>
      </c>
      <c r="B14" t="s">
        <v>257</v>
      </c>
      <c r="C14" t="s">
        <v>258</v>
      </c>
      <c r="D14" t="s">
        <v>44</v>
      </c>
      <c r="E14" t="s">
        <v>43</v>
      </c>
      <c r="F14" t="s">
        <v>43</v>
      </c>
      <c r="G14" t="s">
        <v>143</v>
      </c>
    </row>
    <row r="15" spans="1:7">
      <c r="A15" t="s">
        <v>20</v>
      </c>
      <c r="B15" t="s">
        <v>259</v>
      </c>
      <c r="C15" t="s">
        <v>260</v>
      </c>
      <c r="D15" t="s">
        <v>23</v>
      </c>
      <c r="E15" t="s">
        <v>22</v>
      </c>
      <c r="F15" t="s">
        <v>22</v>
      </c>
      <c r="G15" t="s">
        <v>143</v>
      </c>
    </row>
    <row r="16" spans="1:7">
      <c r="A16" t="s">
        <v>53</v>
      </c>
      <c r="B16" t="s">
        <v>261</v>
      </c>
      <c r="C16" t="s">
        <v>262</v>
      </c>
      <c r="D16" t="s">
        <v>57</v>
      </c>
      <c r="E16" t="s">
        <v>55</v>
      </c>
      <c r="F16" t="s">
        <v>55</v>
      </c>
      <c r="G16" t="s">
        <v>143</v>
      </c>
    </row>
    <row r="17" spans="1:7">
      <c r="A17" t="s">
        <v>46</v>
      </c>
      <c r="B17" t="s">
        <v>263</v>
      </c>
      <c r="C17" t="s">
        <v>264</v>
      </c>
      <c r="D17" t="s">
        <v>47</v>
      </c>
      <c r="E17" t="s">
        <v>48</v>
      </c>
      <c r="F17" t="s">
        <v>48</v>
      </c>
      <c r="G17" t="s">
        <v>143</v>
      </c>
    </row>
    <row r="18" spans="1:7">
      <c r="A18" t="s">
        <v>102</v>
      </c>
      <c r="B18" t="s">
        <v>265</v>
      </c>
      <c r="C18" t="s">
        <v>266</v>
      </c>
      <c r="D18" t="s">
        <v>106</v>
      </c>
      <c r="E18" t="s">
        <v>104</v>
      </c>
      <c r="F18" t="s">
        <v>104</v>
      </c>
      <c r="G18" t="s">
        <v>143</v>
      </c>
    </row>
    <row r="19" spans="1:7">
      <c r="A19" t="s">
        <v>59</v>
      </c>
      <c r="B19" t="s">
        <v>267</v>
      </c>
      <c r="C19" t="s">
        <v>248</v>
      </c>
      <c r="D19" t="s">
        <v>62</v>
      </c>
      <c r="E19" t="s">
        <v>60</v>
      </c>
      <c r="F19" t="s">
        <v>60</v>
      </c>
      <c r="G19" t="s">
        <v>143</v>
      </c>
    </row>
    <row r="20" spans="1:7">
      <c r="A20" t="s">
        <v>174</v>
      </c>
      <c r="B20" t="s">
        <v>268</v>
      </c>
      <c r="C20" t="s">
        <v>269</v>
      </c>
      <c r="D20" t="s">
        <v>70</v>
      </c>
      <c r="E20" t="s">
        <v>68</v>
      </c>
      <c r="F20" t="s">
        <v>68</v>
      </c>
      <c r="G20" t="s">
        <v>143</v>
      </c>
    </row>
    <row r="21" spans="1:7">
      <c r="A21" t="s">
        <v>6</v>
      </c>
      <c r="B21" t="s">
        <v>270</v>
      </c>
      <c r="C21" t="s">
        <v>271</v>
      </c>
      <c r="D21" t="s">
        <v>272</v>
      </c>
      <c r="E21" t="s">
        <v>8</v>
      </c>
      <c r="F21" t="s">
        <v>8</v>
      </c>
      <c r="G21" t="s">
        <v>143</v>
      </c>
    </row>
    <row r="22" spans="1:7">
      <c r="A22" t="s">
        <v>84</v>
      </c>
      <c r="B22" t="s">
        <v>273</v>
      </c>
      <c r="C22" t="s">
        <v>274</v>
      </c>
      <c r="D22" t="s">
        <v>88</v>
      </c>
      <c r="E22" t="s">
        <v>86</v>
      </c>
      <c r="F22" t="s">
        <v>86</v>
      </c>
      <c r="G22" t="s">
        <v>143</v>
      </c>
    </row>
    <row r="23" spans="1:7">
      <c r="A23" t="s">
        <v>96</v>
      </c>
      <c r="B23" t="s">
        <v>275</v>
      </c>
      <c r="C23" t="s">
        <v>276</v>
      </c>
      <c r="D23" t="s">
        <v>100</v>
      </c>
      <c r="E23" t="s">
        <v>98</v>
      </c>
      <c r="F23" t="s">
        <v>98</v>
      </c>
      <c r="G23" t="s">
        <v>143</v>
      </c>
    </row>
    <row r="24" spans="1:7">
      <c r="A24" t="s">
        <v>31</v>
      </c>
      <c r="B24" t="s">
        <v>277</v>
      </c>
      <c r="C24" t="s">
        <v>278</v>
      </c>
      <c r="D24" t="s">
        <v>35</v>
      </c>
      <c r="E24" t="s">
        <v>33</v>
      </c>
      <c r="F24" t="s">
        <v>33</v>
      </c>
      <c r="G24" t="s">
        <v>143</v>
      </c>
    </row>
    <row r="26" spans="1:7">
      <c r="A26" t="s">
        <v>178</v>
      </c>
    </row>
    <row r="27" spans="1:7">
      <c r="A27" t="s">
        <v>132</v>
      </c>
      <c r="B27" t="s">
        <v>179</v>
      </c>
      <c r="C27" t="s">
        <v>180</v>
      </c>
      <c r="D27" t="s">
        <v>181</v>
      </c>
      <c r="E27" t="s">
        <v>2</v>
      </c>
      <c r="F27" t="s">
        <v>137</v>
      </c>
    </row>
    <row r="28" spans="1:7">
      <c r="A28" t="s">
        <v>90</v>
      </c>
      <c r="B28" t="s">
        <v>251</v>
      </c>
      <c r="C28" t="s">
        <v>252</v>
      </c>
      <c r="D28" t="s">
        <v>94</v>
      </c>
      <c r="E28" t="s">
        <v>92</v>
      </c>
      <c r="F28" t="s">
        <v>140</v>
      </c>
    </row>
    <row r="29" spans="1:7">
      <c r="A29" t="s">
        <v>112</v>
      </c>
      <c r="B29" t="s">
        <v>253</v>
      </c>
      <c r="C29" t="s">
        <v>254</v>
      </c>
      <c r="D29" t="s">
        <v>116</v>
      </c>
      <c r="E29" t="s">
        <v>114</v>
      </c>
      <c r="F29" t="s">
        <v>143</v>
      </c>
    </row>
    <row r="30" spans="1:7">
      <c r="A30" t="s">
        <v>25</v>
      </c>
      <c r="B30" t="s">
        <v>255</v>
      </c>
      <c r="C30" t="s">
        <v>256</v>
      </c>
      <c r="D30" t="s">
        <v>29</v>
      </c>
      <c r="E30" t="s">
        <v>27</v>
      </c>
      <c r="F30" t="s">
        <v>143</v>
      </c>
    </row>
    <row r="31" spans="1:7">
      <c r="A31" t="s">
        <v>41</v>
      </c>
      <c r="B31" t="s">
        <v>257</v>
      </c>
      <c r="C31" t="s">
        <v>258</v>
      </c>
      <c r="D31" t="s">
        <v>44</v>
      </c>
      <c r="E31" t="s">
        <v>43</v>
      </c>
      <c r="F31" t="s">
        <v>143</v>
      </c>
    </row>
    <row r="32" spans="1:7">
      <c r="A32" t="s">
        <v>20</v>
      </c>
      <c r="B32" t="s">
        <v>259</v>
      </c>
      <c r="C32" t="s">
        <v>279</v>
      </c>
      <c r="D32" t="s">
        <v>280</v>
      </c>
      <c r="E32" t="s">
        <v>22</v>
      </c>
      <c r="F32" t="s">
        <v>143</v>
      </c>
    </row>
    <row r="33" spans="1:6">
      <c r="A33" t="s">
        <v>20</v>
      </c>
      <c r="B33" t="s">
        <v>281</v>
      </c>
      <c r="C33" t="s">
        <v>260</v>
      </c>
      <c r="D33" t="s">
        <v>282</v>
      </c>
      <c r="E33" t="s">
        <v>22</v>
      </c>
      <c r="F33" t="s">
        <v>143</v>
      </c>
    </row>
    <row r="34" spans="1:6">
      <c r="A34" t="s">
        <v>53</v>
      </c>
      <c r="B34" t="s">
        <v>261</v>
      </c>
      <c r="C34" t="s">
        <v>262</v>
      </c>
      <c r="D34" t="s">
        <v>57</v>
      </c>
      <c r="E34" t="s">
        <v>55</v>
      </c>
      <c r="F34" t="s">
        <v>143</v>
      </c>
    </row>
    <row r="35" spans="1:6">
      <c r="A35" t="s">
        <v>46</v>
      </c>
      <c r="B35" t="s">
        <v>263</v>
      </c>
      <c r="C35" t="s">
        <v>264</v>
      </c>
      <c r="D35" t="s">
        <v>47</v>
      </c>
      <c r="E35" t="s">
        <v>48</v>
      </c>
      <c r="F35" t="s">
        <v>143</v>
      </c>
    </row>
    <row r="36" spans="1:6">
      <c r="A36" t="s">
        <v>102</v>
      </c>
      <c r="B36" t="s">
        <v>265</v>
      </c>
      <c r="C36" t="s">
        <v>283</v>
      </c>
      <c r="D36" t="s">
        <v>284</v>
      </c>
      <c r="E36" t="s">
        <v>104</v>
      </c>
      <c r="F36" t="s">
        <v>143</v>
      </c>
    </row>
    <row r="37" spans="1:6">
      <c r="A37" t="s">
        <v>102</v>
      </c>
      <c r="B37" t="s">
        <v>285</v>
      </c>
      <c r="C37" t="s">
        <v>286</v>
      </c>
      <c r="D37" t="s">
        <v>287</v>
      </c>
      <c r="E37" t="s">
        <v>104</v>
      </c>
      <c r="F37" t="s">
        <v>143</v>
      </c>
    </row>
    <row r="38" spans="1:6">
      <c r="A38" t="s">
        <v>102</v>
      </c>
      <c r="B38" t="s">
        <v>288</v>
      </c>
      <c r="C38" t="s">
        <v>266</v>
      </c>
      <c r="D38" t="s">
        <v>289</v>
      </c>
      <c r="E38" t="s">
        <v>104</v>
      </c>
      <c r="F38" t="s">
        <v>143</v>
      </c>
    </row>
    <row r="39" spans="1:6">
      <c r="A39" t="s">
        <v>59</v>
      </c>
      <c r="B39" t="s">
        <v>267</v>
      </c>
      <c r="C39" t="s">
        <v>248</v>
      </c>
      <c r="D39" t="s">
        <v>62</v>
      </c>
      <c r="E39" t="s">
        <v>60</v>
      </c>
      <c r="F39" t="s">
        <v>143</v>
      </c>
    </row>
    <row r="40" spans="1:6">
      <c r="A40" t="s">
        <v>174</v>
      </c>
      <c r="B40" t="s">
        <v>268</v>
      </c>
      <c r="C40" t="s">
        <v>290</v>
      </c>
      <c r="D40" t="s">
        <v>291</v>
      </c>
      <c r="E40" t="s">
        <v>68</v>
      </c>
      <c r="F40" t="s">
        <v>143</v>
      </c>
    </row>
    <row r="41" spans="1:6">
      <c r="A41" t="s">
        <v>174</v>
      </c>
      <c r="B41" t="s">
        <v>292</v>
      </c>
      <c r="C41" t="s">
        <v>293</v>
      </c>
      <c r="D41" t="s">
        <v>294</v>
      </c>
      <c r="E41" t="s">
        <v>68</v>
      </c>
      <c r="F41" t="s">
        <v>143</v>
      </c>
    </row>
    <row r="42" spans="1:6">
      <c r="A42" t="s">
        <v>174</v>
      </c>
      <c r="B42" t="s">
        <v>295</v>
      </c>
      <c r="C42" t="s">
        <v>269</v>
      </c>
      <c r="D42" t="s">
        <v>296</v>
      </c>
      <c r="E42" t="s">
        <v>68</v>
      </c>
      <c r="F42" t="s">
        <v>143</v>
      </c>
    </row>
    <row r="43" spans="1:6">
      <c r="A43" t="s">
        <v>6</v>
      </c>
      <c r="B43" t="s">
        <v>270</v>
      </c>
      <c r="C43" t="s">
        <v>271</v>
      </c>
      <c r="D43" t="s">
        <v>272</v>
      </c>
      <c r="E43" t="s">
        <v>8</v>
      </c>
      <c r="F43" t="s">
        <v>143</v>
      </c>
    </row>
    <row r="44" spans="1:6">
      <c r="A44" t="s">
        <v>84</v>
      </c>
      <c r="B44" t="s">
        <v>273</v>
      </c>
      <c r="C44" t="s">
        <v>274</v>
      </c>
      <c r="D44" t="s">
        <v>88</v>
      </c>
      <c r="E44" t="s">
        <v>86</v>
      </c>
      <c r="F44" t="s">
        <v>143</v>
      </c>
    </row>
    <row r="45" spans="1:6">
      <c r="A45" t="s">
        <v>96</v>
      </c>
      <c r="B45" t="s">
        <v>275</v>
      </c>
      <c r="C45" t="s">
        <v>276</v>
      </c>
      <c r="D45" t="s">
        <v>100</v>
      </c>
      <c r="E45" t="s">
        <v>98</v>
      </c>
      <c r="F45" t="s">
        <v>143</v>
      </c>
    </row>
    <row r="46" spans="1:6">
      <c r="A46" t="s">
        <v>31</v>
      </c>
      <c r="B46" t="s">
        <v>277</v>
      </c>
      <c r="C46" t="s">
        <v>278</v>
      </c>
      <c r="D46" t="s">
        <v>35</v>
      </c>
      <c r="E46" t="s">
        <v>33</v>
      </c>
      <c r="F46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Matteo Francia</dc:creator>
  <cp:keywords/>
  <dc:description/>
  <cp:lastModifiedBy>Matteo Francia</cp:lastModifiedBy>
  <cp:revision/>
  <dcterms:created xsi:type="dcterms:W3CDTF">2025-12-22T15:26:42Z</dcterms:created>
  <dcterms:modified xsi:type="dcterms:W3CDTF">2026-02-19T21:00:44Z</dcterms:modified>
  <cp:category/>
  <cp:contentStatus/>
</cp:coreProperties>
</file>